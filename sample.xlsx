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50345915_aston_ac_uk/Documents/"/>
    </mc:Choice>
  </mc:AlternateContent>
  <xr:revisionPtr revIDLastSave="1084" documentId="8_{6F219B35-8792-4FC2-B253-595E167E0B4B}" xr6:coauthVersionLast="47" xr6:coauthVersionMax="47" xr10:uidLastSave="{0936DB3C-03D7-40BF-9F87-6E3A54F2FD2E}"/>
  <bookViews>
    <workbookView minimized="1" xWindow="1848" yWindow="1848" windowWidth="17280" windowHeight="8880" xr2:uid="{FB8B4BBC-74ED-4845-A876-BE58DE13B6D5}"/>
  </bookViews>
  <sheets>
    <sheet name="regresion" sheetId="1" r:id="rId1"/>
    <sheet name="data and visluasition" sheetId="3" r:id="rId2"/>
  </sheets>
  <definedNames>
    <definedName name="_xlchart.v1.0" hidden="1">'data and visluasition'!$B$1</definedName>
    <definedName name="_xlchart.v1.1" hidden="1">'data and visluasition'!$B$2:$B$81</definedName>
    <definedName name="_xlchart.v1.2" hidden="1">'data and visluasition'!$E$2:$E$81</definedName>
  </definedName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5" i="3" l="1"/>
  <c r="U72" i="3" a="1"/>
  <c r="U72" i="3" s="1"/>
  <c r="T72" i="3" a="1"/>
  <c r="T72" i="3" s="1"/>
  <c r="S72" i="3" a="1"/>
  <c r="S72" i="3" s="1"/>
  <c r="AL74" i="3" l="1" a="1"/>
  <c r="AL74" i="3" s="1"/>
  <c r="AK74" i="3" a="1"/>
  <c r="AK74" i="3" s="1"/>
  <c r="AE3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O2" i="3" l="1"/>
  <c r="P2" i="3"/>
  <c r="Q2" i="3"/>
  <c r="O3" i="3"/>
  <c r="P3" i="3"/>
  <c r="Q3" i="3"/>
  <c r="O4" i="3"/>
  <c r="P4" i="3"/>
  <c r="Q4" i="3"/>
  <c r="O5" i="3"/>
  <c r="P5" i="3"/>
  <c r="Q5" i="3"/>
  <c r="O6" i="3"/>
  <c r="P6" i="3"/>
  <c r="Q6" i="3"/>
  <c r="O7" i="3"/>
  <c r="P7" i="3"/>
  <c r="Q7" i="3"/>
  <c r="O8" i="3"/>
  <c r="P8" i="3"/>
  <c r="Q8" i="3"/>
  <c r="O9" i="3"/>
  <c r="P9" i="3"/>
  <c r="Q9" i="3"/>
  <c r="O10" i="3"/>
  <c r="P10" i="3"/>
  <c r="Q10" i="3"/>
  <c r="O11" i="3"/>
  <c r="P11" i="3"/>
  <c r="Q11" i="3"/>
  <c r="O12" i="3"/>
  <c r="P12" i="3"/>
  <c r="Q12" i="3"/>
  <c r="O13" i="3"/>
  <c r="P13" i="3"/>
  <c r="Q13" i="3"/>
  <c r="O14" i="3"/>
  <c r="P14" i="3"/>
  <c r="Q14" i="3"/>
  <c r="O15" i="3"/>
  <c r="P15" i="3"/>
  <c r="Q15" i="3"/>
  <c r="O16" i="3"/>
  <c r="P16" i="3"/>
  <c r="Q16" i="3"/>
  <c r="O17" i="3"/>
  <c r="P17" i="3"/>
  <c r="Q17" i="3"/>
  <c r="O18" i="3"/>
  <c r="P18" i="3"/>
  <c r="Q18" i="3"/>
  <c r="O19" i="3"/>
  <c r="P19" i="3"/>
  <c r="Q19" i="3"/>
  <c r="O20" i="3"/>
  <c r="P20" i="3"/>
  <c r="Q20" i="3"/>
  <c r="O21" i="3"/>
  <c r="P21" i="3"/>
  <c r="Q21" i="3"/>
  <c r="O22" i="3"/>
  <c r="P22" i="3"/>
  <c r="Q22" i="3"/>
  <c r="O23" i="3"/>
  <c r="P23" i="3"/>
  <c r="Q23" i="3"/>
  <c r="O24" i="3"/>
  <c r="P24" i="3"/>
  <c r="Q24" i="3"/>
  <c r="O25" i="3"/>
  <c r="P25" i="3"/>
  <c r="Q25" i="3"/>
  <c r="O26" i="3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O35" i="3"/>
  <c r="P35" i="3"/>
  <c r="Q35" i="3"/>
  <c r="O36" i="3"/>
  <c r="P36" i="3"/>
  <c r="Q36" i="3"/>
  <c r="O37" i="3"/>
  <c r="P37" i="3"/>
  <c r="Q37" i="3"/>
  <c r="O38" i="3"/>
  <c r="P38" i="3"/>
  <c r="Q38" i="3"/>
  <c r="O39" i="3"/>
  <c r="P39" i="3"/>
  <c r="Q39" i="3"/>
  <c r="O40" i="3"/>
  <c r="P40" i="3"/>
  <c r="Q40" i="3"/>
  <c r="O41" i="3"/>
  <c r="P41" i="3"/>
  <c r="Q41" i="3"/>
  <c r="O42" i="3"/>
  <c r="P42" i="3"/>
  <c r="Q42" i="3"/>
  <c r="O43" i="3"/>
  <c r="P43" i="3"/>
  <c r="Q43" i="3"/>
  <c r="O44" i="3"/>
  <c r="P44" i="3"/>
  <c r="Q44" i="3"/>
  <c r="O45" i="3"/>
  <c r="P45" i="3"/>
  <c r="Q45" i="3"/>
  <c r="O46" i="3"/>
  <c r="P46" i="3"/>
  <c r="Q46" i="3"/>
  <c r="O47" i="3"/>
  <c r="P47" i="3"/>
  <c r="Q47" i="3"/>
  <c r="O48" i="3"/>
  <c r="P48" i="3"/>
  <c r="Q48" i="3"/>
  <c r="O49" i="3"/>
  <c r="P49" i="3"/>
  <c r="Q49" i="3"/>
  <c r="O50" i="3"/>
  <c r="P50" i="3"/>
  <c r="Q50" i="3"/>
  <c r="O51" i="3"/>
  <c r="P51" i="3"/>
  <c r="Q51" i="3"/>
  <c r="O52" i="3"/>
  <c r="P52" i="3"/>
  <c r="Q52" i="3"/>
  <c r="O53" i="3"/>
  <c r="P53" i="3"/>
  <c r="Q53" i="3"/>
  <c r="O54" i="3"/>
  <c r="P54" i="3"/>
  <c r="Q54" i="3"/>
  <c r="O55" i="3"/>
  <c r="P55" i="3"/>
  <c r="Q55" i="3"/>
  <c r="O56" i="3"/>
  <c r="P56" i="3"/>
  <c r="Q56" i="3"/>
  <c r="O57" i="3"/>
  <c r="P57" i="3"/>
  <c r="Q57" i="3"/>
  <c r="O58" i="3"/>
  <c r="P58" i="3"/>
  <c r="Q58" i="3"/>
  <c r="O59" i="3"/>
  <c r="P59" i="3"/>
  <c r="Q59" i="3"/>
  <c r="O60" i="3"/>
  <c r="P60" i="3"/>
  <c r="Q60" i="3"/>
  <c r="O61" i="3"/>
  <c r="P61" i="3"/>
  <c r="Q61" i="3"/>
  <c r="O62" i="3"/>
  <c r="P62" i="3"/>
  <c r="Q62" i="3"/>
  <c r="O63" i="3"/>
  <c r="P63" i="3"/>
  <c r="Q63" i="3"/>
  <c r="O64" i="3"/>
  <c r="P64" i="3"/>
  <c r="Q64" i="3"/>
  <c r="O65" i="3"/>
  <c r="P65" i="3"/>
  <c r="Q65" i="3"/>
  <c r="O66" i="3"/>
  <c r="P66" i="3"/>
  <c r="Q66" i="3"/>
  <c r="O67" i="3"/>
  <c r="P67" i="3"/>
  <c r="Q67" i="3"/>
  <c r="O68" i="3"/>
  <c r="P68" i="3"/>
  <c r="Q68" i="3"/>
  <c r="O69" i="3"/>
  <c r="P69" i="3"/>
  <c r="Q69" i="3"/>
  <c r="O70" i="3"/>
  <c r="P70" i="3"/>
  <c r="Q70" i="3"/>
  <c r="O71" i="3"/>
  <c r="P71" i="3"/>
  <c r="Q71" i="3"/>
  <c r="O72" i="3"/>
  <c r="P72" i="3"/>
  <c r="Q72" i="3"/>
  <c r="O73" i="3"/>
  <c r="P73" i="3"/>
  <c r="Q73" i="3"/>
  <c r="O74" i="3"/>
  <c r="P74" i="3"/>
  <c r="Q74" i="3"/>
  <c r="O75" i="3"/>
  <c r="P75" i="3"/>
  <c r="Q75" i="3"/>
  <c r="O76" i="3"/>
  <c r="P76" i="3"/>
  <c r="Q76" i="3"/>
  <c r="O77" i="3"/>
  <c r="P77" i="3"/>
  <c r="Q77" i="3"/>
  <c r="O78" i="3"/>
  <c r="P78" i="3"/>
  <c r="Q78" i="3"/>
  <c r="O79" i="3"/>
  <c r="P79" i="3"/>
  <c r="Q79" i="3"/>
  <c r="O80" i="3"/>
  <c r="P80" i="3"/>
  <c r="Q80" i="3"/>
  <c r="O81" i="3"/>
  <c r="P81" i="3"/>
  <c r="Q81" i="3"/>
  <c r="AG71" i="3"/>
  <c r="AG70" i="3"/>
  <c r="AG69" i="3"/>
  <c r="AG68" i="3"/>
  <c r="AG67" i="3"/>
  <c r="AG66" i="3"/>
  <c r="AG65" i="3"/>
  <c r="AG64" i="3"/>
  <c r="AF71" i="3"/>
  <c r="AF70" i="3"/>
  <c r="AF69" i="3"/>
  <c r="AF68" i="3"/>
  <c r="AF67" i="3"/>
  <c r="AF66" i="3"/>
  <c r="AF65" i="3"/>
  <c r="AD64" i="3"/>
  <c r="AF64" i="3"/>
  <c r="AE71" i="3"/>
  <c r="AE70" i="3"/>
  <c r="AE69" i="3"/>
  <c r="AE68" i="3"/>
  <c r="AE67" i="3"/>
  <c r="AE66" i="3"/>
  <c r="AE65" i="3"/>
  <c r="AE64" i="3"/>
  <c r="AD71" i="3"/>
  <c r="AD70" i="3"/>
  <c r="AD69" i="3"/>
  <c r="AD68" i="3"/>
  <c r="AD67" i="3"/>
  <c r="AD66" i="3"/>
  <c r="AD65" i="3"/>
  <c r="M54" i="3"/>
  <c r="AB29" i="3" l="1"/>
  <c r="AB28" i="3"/>
  <c r="AB27" i="3"/>
  <c r="AB26" i="3"/>
  <c r="AB25" i="3"/>
  <c r="AB24" i="3"/>
  <c r="AB23" i="3"/>
  <c r="AB22" i="3"/>
  <c r="AB21" i="3"/>
  <c r="AB20" i="3"/>
  <c r="AB19" i="3"/>
  <c r="AB17" i="3"/>
  <c r="AB18" i="3"/>
  <c r="AM15" i="3"/>
  <c r="AM16" i="3"/>
  <c r="M2" i="3"/>
  <c r="M3" i="3"/>
  <c r="M17" i="3"/>
  <c r="M32" i="3"/>
  <c r="M4" i="3"/>
  <c r="M18" i="3"/>
  <c r="M60" i="3"/>
  <c r="M5" i="3"/>
  <c r="M69" i="3"/>
  <c r="M19" i="3"/>
  <c r="M29" i="3"/>
  <c r="M61" i="3"/>
  <c r="M33" i="3"/>
  <c r="M6" i="3"/>
  <c r="M45" i="3"/>
  <c r="M62" i="3"/>
  <c r="M70" i="3"/>
  <c r="M46" i="3"/>
  <c r="M47" i="3"/>
  <c r="M63" i="3"/>
  <c r="M7" i="3"/>
  <c r="M43" i="3"/>
  <c r="M48" i="3"/>
  <c r="M71" i="3"/>
  <c r="M34" i="3"/>
  <c r="M35" i="3"/>
  <c r="M72" i="3"/>
  <c r="M49" i="3"/>
  <c r="M50" i="3"/>
  <c r="M51" i="3"/>
  <c r="M30" i="3"/>
  <c r="M73" i="3"/>
  <c r="M52" i="3"/>
  <c r="M36" i="3"/>
  <c r="M8" i="3"/>
  <c r="M37" i="3"/>
  <c r="M9" i="3"/>
  <c r="M20" i="3"/>
  <c r="M21" i="3"/>
  <c r="M38" i="3"/>
  <c r="M64" i="3"/>
  <c r="M39" i="3"/>
  <c r="M53" i="3"/>
  <c r="M10" i="3"/>
  <c r="M22" i="3"/>
  <c r="M23" i="3"/>
  <c r="M11" i="3"/>
  <c r="M24" i="3"/>
  <c r="M74" i="3"/>
  <c r="M65" i="3"/>
  <c r="M66" i="3"/>
  <c r="M31" i="3"/>
  <c r="M12" i="3"/>
  <c r="M75" i="3"/>
  <c r="M76" i="3"/>
  <c r="M40" i="3"/>
  <c r="M77" i="3"/>
  <c r="M13" i="3"/>
  <c r="M67" i="3"/>
  <c r="M78" i="3"/>
  <c r="M55" i="3"/>
  <c r="M25" i="3"/>
  <c r="M79" i="3"/>
  <c r="M80" i="3"/>
  <c r="M41" i="3"/>
  <c r="M26" i="3"/>
  <c r="M56" i="3"/>
  <c r="M81" i="3"/>
  <c r="M42" i="3"/>
  <c r="M27" i="3"/>
  <c r="M14" i="3"/>
  <c r="M15" i="3"/>
  <c r="M28" i="3"/>
  <c r="M16" i="3"/>
  <c r="M57" i="3"/>
  <c r="M44" i="3"/>
  <c r="M58" i="3"/>
  <c r="M59" i="3"/>
  <c r="M68" i="3"/>
  <c r="AB30" i="3" l="1"/>
  <c r="AM20" i="3"/>
  <c r="T23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<sst xmlns="http://schemas.openxmlformats.org/spreadsheetml/2006/main" count="1272" uniqueCount="159">
  <si>
    <t xml:space="preserve">ID </t>
  </si>
  <si>
    <t>YEAR</t>
  </si>
  <si>
    <t>MILEAGE</t>
  </si>
  <si>
    <t xml:space="preserve">FULE TYPE </t>
  </si>
  <si>
    <t>TRANSMISSION</t>
  </si>
  <si>
    <t>ENGINE SIZE</t>
  </si>
  <si>
    <t xml:space="preserve">BODY  TYPE </t>
  </si>
  <si>
    <t xml:space="preserve">DOOR </t>
  </si>
  <si>
    <t>Manual</t>
  </si>
  <si>
    <t>Petrol</t>
  </si>
  <si>
    <t>Hatchback</t>
  </si>
  <si>
    <t>1.3L</t>
  </si>
  <si>
    <t>COLOUR</t>
  </si>
  <si>
    <t>Sliver</t>
  </si>
  <si>
    <t>PRICE</t>
  </si>
  <si>
    <t>Blue</t>
  </si>
  <si>
    <t>Green</t>
  </si>
  <si>
    <t>EMMISION CLASS</t>
  </si>
  <si>
    <t xml:space="preserve">Euro 4 </t>
  </si>
  <si>
    <t>1.0L</t>
  </si>
  <si>
    <t>Grey</t>
  </si>
  <si>
    <t>Euro 6</t>
  </si>
  <si>
    <t>Black</t>
  </si>
  <si>
    <t>1.4L</t>
  </si>
  <si>
    <t>Euro 5</t>
  </si>
  <si>
    <t>Diesel</t>
  </si>
  <si>
    <t>Pink</t>
  </si>
  <si>
    <t>Petrol Hybrid</t>
  </si>
  <si>
    <t>Automatic</t>
  </si>
  <si>
    <t>Red</t>
  </si>
  <si>
    <t xml:space="preserve">Euro 6 </t>
  </si>
  <si>
    <t>1.0l</t>
  </si>
  <si>
    <t>White</t>
  </si>
  <si>
    <t xml:space="preserve">Petrol  </t>
  </si>
  <si>
    <t xml:space="preserve">Petrol </t>
  </si>
  <si>
    <t>1.1L</t>
  </si>
  <si>
    <t>Euro 4</t>
  </si>
  <si>
    <t>1.6L</t>
  </si>
  <si>
    <t>Petol</t>
  </si>
  <si>
    <t>Gery</t>
  </si>
  <si>
    <t>1.5L</t>
  </si>
  <si>
    <t>Euro5</t>
  </si>
  <si>
    <t xml:space="preserve">Euro 5 </t>
  </si>
  <si>
    <t>Brown</t>
  </si>
  <si>
    <t>Euro  6</t>
  </si>
  <si>
    <t xml:space="preserve">Black </t>
  </si>
  <si>
    <t>Column1</t>
  </si>
  <si>
    <t>random</t>
  </si>
  <si>
    <t>Row Labels</t>
  </si>
  <si>
    <t>Grand Total</t>
  </si>
  <si>
    <t>Sum of PRICE</t>
  </si>
  <si>
    <t>FULE TYPE</t>
  </si>
  <si>
    <t>0-1999</t>
  </si>
  <si>
    <t>2000-3999</t>
  </si>
  <si>
    <t>4000-5999</t>
  </si>
  <si>
    <t>6000-7999</t>
  </si>
  <si>
    <t>8000-9999</t>
  </si>
  <si>
    <t>10000-11999</t>
  </si>
  <si>
    <t>12000-13999</t>
  </si>
  <si>
    <t>14000-15999</t>
  </si>
  <si>
    <t>16000-17999</t>
  </si>
  <si>
    <t>18000-20000</t>
  </si>
  <si>
    <t>avrage</t>
  </si>
  <si>
    <t>stdev</t>
  </si>
  <si>
    <t>Standard Error = Standard Deviation / √Sample Size</t>
  </si>
  <si>
    <t>Margin of Error = 1.96 × Standard Error</t>
  </si>
  <si>
    <t>= £987.90</t>
  </si>
  <si>
    <t>Lower Bound = Average - Margin of Error</t>
  </si>
  <si>
    <t>= 5950.60 - 987.90 = £4,962.70</t>
  </si>
  <si>
    <t xml:space="preserve">Upper Bound = Average + Margin of Error  </t>
  </si>
  <si>
    <t>= 5950.60 + 987.90 = £6,938.50</t>
  </si>
  <si>
    <t>4962-6938</t>
  </si>
  <si>
    <t>=</t>
  </si>
  <si>
    <t>age</t>
  </si>
  <si>
    <t>Column2</t>
  </si>
  <si>
    <t>£4,001-£5,000</t>
  </si>
  <si>
    <t>£5,001-£6,000</t>
  </si>
  <si>
    <t>£6,001-£7,000</t>
  </si>
  <si>
    <t>£7,001-£8,000</t>
  </si>
  <si>
    <t>£8,001-£9,000</t>
  </si>
  <si>
    <t xml:space="preserve"> £14,001+</t>
  </si>
  <si>
    <t xml:space="preserve"> £12,001-£14,000</t>
  </si>
  <si>
    <t xml:space="preserve"> £10,001-£12,000</t>
  </si>
  <si>
    <t xml:space="preserve"> £9,001-£10,000</t>
  </si>
  <si>
    <t xml:space="preserve"> £3,001-£4,000</t>
  </si>
  <si>
    <t xml:space="preserve"> £2,001-£3,000</t>
  </si>
  <si>
    <t xml:space="preserve"> £1,001-£2,000  </t>
  </si>
  <si>
    <t xml:space="preserve"> £0-£1,000</t>
  </si>
  <si>
    <t>Count of PRICE</t>
  </si>
  <si>
    <t xml:space="preserve">PRICE </t>
  </si>
  <si>
    <t xml:space="preserve">MILEAGE </t>
  </si>
  <si>
    <t>LITER</t>
  </si>
  <si>
    <t>COUNT</t>
  </si>
  <si>
    <t>MEAN</t>
  </si>
  <si>
    <t>STD</t>
  </si>
  <si>
    <t>MIN</t>
  </si>
  <si>
    <t>MAX</t>
  </si>
  <si>
    <t>liter</t>
  </si>
  <si>
    <t>Average of PRICE</t>
  </si>
  <si>
    <t>StdDev of PRICE</t>
  </si>
  <si>
    <t>Min of PRICE</t>
  </si>
  <si>
    <t>Max of PRICE</t>
  </si>
  <si>
    <t>Min of PRICE3</t>
  </si>
  <si>
    <t>petrol</t>
  </si>
  <si>
    <t>diesel</t>
  </si>
  <si>
    <t xml:space="preserve">manual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</si>
  <si>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</si>
  <si>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</si>
  <si>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</si>
  <si>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</si>
  <si>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</si>
  <si>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</si>
  <si>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</si>
  <si>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</si>
  <si>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</si>
  <si>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</si>
  <si>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</si>
  <si>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</si>
  <si>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</si>
  <si>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</si>
  <si>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</si>
  <si>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</si>
  <si>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</si>
  <si>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</si>
  <si>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</si>
  <si>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</si>
  <si>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</si>
  <si>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</si>
  <si>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</si>
  <si>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</si>
  <si>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Mileage</t>
  </si>
  <si>
    <t>Year</t>
  </si>
  <si>
    <t>Engine Size (L)</t>
  </si>
  <si>
    <t>Fuel Type</t>
  </si>
  <si>
    <t>Transmission</t>
  </si>
  <si>
    <t>Predicted Price (£)</t>
  </si>
  <si>
    <t>Manual Prices</t>
  </si>
  <si>
    <t>Automatic Prices</t>
  </si>
  <si>
    <t>t-Test: Two-Sample Assuming Unequal Variances</t>
  </si>
  <si>
    <t>Mean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</si>
  <si>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</si>
  <si>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</si>
  <si>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</si>
  <si>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</si>
  <si>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</si>
  <si>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</si>
  <si>
    <t>Petrol Prices</t>
  </si>
  <si>
    <t>Diesel Prices</t>
  </si>
  <si>
    <t>Hybrid Prices</t>
  </si>
  <si>
    <t>Anova: Single Factor</t>
  </si>
  <si>
    <t>SUMMARY</t>
  </si>
  <si>
    <t>Groups</t>
  </si>
  <si>
    <t>Count</t>
  </si>
  <si>
    <t>Sum</t>
  </si>
  <si>
    <t>Average</t>
  </si>
  <si>
    <t>Between Groups</t>
  </si>
  <si>
    <t>Within Groups</t>
  </si>
  <si>
    <t>Source of Variation</t>
  </si>
  <si>
    <t>F 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</si>
</sst>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£-809]#,##0"/>
    <numFmt numFmtId="165" formatCode="_-[$£-809]* #,##0.00_-;\-[$£-809]* #,##0.00_-;_-[$£-809]* &quot;-&quot;??_-;_-@_-"/>
    <numFmt numFmtId="166" formatCode="\£#,##0.00"/>
  </numFmts>
  <fonts count="10" x14ac:knownFonts="1">
    <font>
      <sz val="11"/>
      <color theme="1"/>
      <name val="Aptos Narrow"/>
      <family val="2"/>
      <scheme val="minor"/>
    </font>
    <font>
      <sz val="10"/>
      <color rgb="FF242D3D"/>
      <name val="Segoe U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rgb="FFF9FAFB"/>
      <name val="Consolas"/>
      <family val="3"/>
    </font>
    <font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E8E7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4" fillId="2" borderId="2" xfId="0" applyFont="1" applyFill="1" applyBorder="1"/>
    <xf numFmtId="0" fontId="0" fillId="3" borderId="2" xfId="0" applyFill="1" applyBorder="1"/>
    <xf numFmtId="0" fontId="0" fillId="0" borderId="2" xfId="0" applyBorder="1"/>
    <xf numFmtId="164" fontId="0" fillId="0" borderId="0" xfId="0" applyNumberFormat="1"/>
    <xf numFmtId="164" fontId="0" fillId="0" borderId="0" xfId="1" applyNumberFormat="1" applyFont="1"/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3" borderId="2" xfId="0" applyFont="1" applyFill="1" applyBorder="1"/>
    <xf numFmtId="0" fontId="1" fillId="0" borderId="2" xfId="0" applyFont="1" applyBorder="1"/>
    <xf numFmtId="0" fontId="5" fillId="0" borderId="0" xfId="0" applyFont="1"/>
    <xf numFmtId="165" fontId="4" fillId="2" borderId="2" xfId="0" applyNumberFormat="1" applyFont="1" applyFill="1" applyBorder="1"/>
    <xf numFmtId="165" fontId="0" fillId="3" borderId="2" xfId="0" applyNumberFormat="1" applyFill="1" applyBorder="1"/>
    <xf numFmtId="165" fontId="0" fillId="0" borderId="2" xfId="0" applyNumberFormat="1" applyBorder="1"/>
    <xf numFmtId="165" fontId="0" fillId="3" borderId="2" xfId="1" applyNumberFormat="1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65" fontId="0" fillId="0" borderId="0" xfId="0" applyNumberFormat="1" applyAlignment="1">
      <alignment horizontal="left"/>
    </xf>
    <xf numFmtId="9" fontId="0" fillId="0" borderId="0" xfId="0" applyNumberFormat="1"/>
    <xf numFmtId="0" fontId="0" fillId="0" borderId="4" xfId="0" applyBorder="1"/>
    <xf numFmtId="0" fontId="0" fillId="0" borderId="3" xfId="0" applyBorder="1"/>
    <xf numFmtId="0" fontId="4" fillId="2" borderId="0" xfId="0" applyFont="1" applyFill="1"/>
    <xf numFmtId="0" fontId="6" fillId="0" borderId="0" xfId="0" applyFont="1"/>
    <xf numFmtId="0" fontId="7" fillId="0" borderId="5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165" fontId="6" fillId="0" borderId="0" xfId="0" applyNumberFormat="1" applyFont="1"/>
    <xf numFmtId="0" fontId="6" fillId="0" borderId="0" xfId="0" applyFont="1" applyAlignment="1">
      <alignment horizontal="left"/>
    </xf>
    <xf numFmtId="9" fontId="6" fillId="0" borderId="0" xfId="0" applyNumberFormat="1" applyFont="1" applyAlignment="1">
      <alignment horizontal="left"/>
    </xf>
    <xf numFmtId="0" fontId="0" fillId="0" borderId="6" xfId="0" applyBorder="1"/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Continuous"/>
    </xf>
    <xf numFmtId="0" fontId="9" fillId="0" borderId="0" xfId="0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29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3" formatCode="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2D3D"/>
        <name val="Segoe U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2D3D"/>
        <name val="Segoe UI"/>
        <family val="2"/>
        <scheme val="none"/>
      </font>
    </dxf>
    <dxf>
      <numFmt numFmtId="0" formatCode="General"/>
    </dxf>
    <dxf>
      <numFmt numFmtId="164" formatCode="[$£-8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'data and visluasition'!$B$2:$B$81</c:f>
              <c:numCache>
                <c:formatCode>_-[$£-809]* #,##0.00_-;\-[$£-809]* #,##0.00_-;_-[$£-809]* "-"??_-;_-@_-</c:formatCode>
                <c:ptCount val="80"/>
                <c:pt idx="0">
                  <c:v>10899</c:v>
                </c:pt>
                <c:pt idx="1">
                  <c:v>1965</c:v>
                </c:pt>
                <c:pt idx="2">
                  <c:v>9952</c:v>
                </c:pt>
                <c:pt idx="3">
                  <c:v>3850</c:v>
                </c:pt>
                <c:pt idx="4">
                  <c:v>6490</c:v>
                </c:pt>
                <c:pt idx="5">
                  <c:v>10899</c:v>
                </c:pt>
                <c:pt idx="6">
                  <c:v>12889</c:v>
                </c:pt>
                <c:pt idx="7">
                  <c:v>3790</c:v>
                </c:pt>
                <c:pt idx="8">
                  <c:v>4695</c:v>
                </c:pt>
                <c:pt idx="9">
                  <c:v>3790</c:v>
                </c:pt>
                <c:pt idx="10">
                  <c:v>1599</c:v>
                </c:pt>
                <c:pt idx="11">
                  <c:v>14205</c:v>
                </c:pt>
                <c:pt idx="12">
                  <c:v>18990</c:v>
                </c:pt>
                <c:pt idx="13">
                  <c:v>3500</c:v>
                </c:pt>
                <c:pt idx="14">
                  <c:v>10750</c:v>
                </c:pt>
                <c:pt idx="15">
                  <c:v>2385</c:v>
                </c:pt>
                <c:pt idx="16">
                  <c:v>3995</c:v>
                </c:pt>
                <c:pt idx="17">
                  <c:v>12699</c:v>
                </c:pt>
                <c:pt idx="18">
                  <c:v>1895</c:v>
                </c:pt>
                <c:pt idx="19">
                  <c:v>2385</c:v>
                </c:pt>
                <c:pt idx="20">
                  <c:v>1199</c:v>
                </c:pt>
                <c:pt idx="21">
                  <c:v>12699</c:v>
                </c:pt>
                <c:pt idx="22">
                  <c:v>16949</c:v>
                </c:pt>
                <c:pt idx="23">
                  <c:v>1650</c:v>
                </c:pt>
                <c:pt idx="24">
                  <c:v>3995</c:v>
                </c:pt>
                <c:pt idx="25">
                  <c:v>12099</c:v>
                </c:pt>
                <c:pt idx="26">
                  <c:v>6099</c:v>
                </c:pt>
                <c:pt idx="27">
                  <c:v>6790</c:v>
                </c:pt>
                <c:pt idx="28">
                  <c:v>9129</c:v>
                </c:pt>
                <c:pt idx="29">
                  <c:v>2250</c:v>
                </c:pt>
                <c:pt idx="30">
                  <c:v>3500</c:v>
                </c:pt>
                <c:pt idx="31">
                  <c:v>3250</c:v>
                </c:pt>
                <c:pt idx="32">
                  <c:v>4350</c:v>
                </c:pt>
                <c:pt idx="33">
                  <c:v>12499</c:v>
                </c:pt>
                <c:pt idx="34">
                  <c:v>5000</c:v>
                </c:pt>
                <c:pt idx="35">
                  <c:v>4000</c:v>
                </c:pt>
                <c:pt idx="36">
                  <c:v>2500</c:v>
                </c:pt>
                <c:pt idx="37">
                  <c:v>1495</c:v>
                </c:pt>
                <c:pt idx="38">
                  <c:v>3250</c:v>
                </c:pt>
                <c:pt idx="39">
                  <c:v>3999</c:v>
                </c:pt>
                <c:pt idx="40">
                  <c:v>13629</c:v>
                </c:pt>
                <c:pt idx="41">
                  <c:v>1689</c:v>
                </c:pt>
                <c:pt idx="42">
                  <c:v>1689</c:v>
                </c:pt>
                <c:pt idx="43">
                  <c:v>2350</c:v>
                </c:pt>
                <c:pt idx="44">
                  <c:v>8139</c:v>
                </c:pt>
                <c:pt idx="45">
                  <c:v>4995</c:v>
                </c:pt>
                <c:pt idx="46">
                  <c:v>12490</c:v>
                </c:pt>
                <c:pt idx="47">
                  <c:v>2500</c:v>
                </c:pt>
                <c:pt idx="48">
                  <c:v>2500</c:v>
                </c:pt>
                <c:pt idx="49">
                  <c:v>3080</c:v>
                </c:pt>
                <c:pt idx="50">
                  <c:v>8995</c:v>
                </c:pt>
                <c:pt idx="51">
                  <c:v>11267</c:v>
                </c:pt>
                <c:pt idx="52">
                  <c:v>11844</c:v>
                </c:pt>
                <c:pt idx="53">
                  <c:v>3521</c:v>
                </c:pt>
                <c:pt idx="54">
                  <c:v>3850</c:v>
                </c:pt>
                <c:pt idx="55">
                  <c:v>1000</c:v>
                </c:pt>
                <c:pt idx="56">
                  <c:v>10000</c:v>
                </c:pt>
                <c:pt idx="57">
                  <c:v>4995</c:v>
                </c:pt>
                <c:pt idx="58">
                  <c:v>595</c:v>
                </c:pt>
                <c:pt idx="59">
                  <c:v>850</c:v>
                </c:pt>
                <c:pt idx="60">
                  <c:v>850</c:v>
                </c:pt>
                <c:pt idx="61">
                  <c:v>4350</c:v>
                </c:pt>
                <c:pt idx="62">
                  <c:v>3000</c:v>
                </c:pt>
                <c:pt idx="63">
                  <c:v>595</c:v>
                </c:pt>
                <c:pt idx="64">
                  <c:v>7700</c:v>
                </c:pt>
                <c:pt idx="65">
                  <c:v>999</c:v>
                </c:pt>
                <c:pt idx="66">
                  <c:v>4350</c:v>
                </c:pt>
                <c:pt idx="67">
                  <c:v>1590</c:v>
                </c:pt>
                <c:pt idx="68">
                  <c:v>2499</c:v>
                </c:pt>
                <c:pt idx="69">
                  <c:v>9750</c:v>
                </c:pt>
                <c:pt idx="70">
                  <c:v>4500</c:v>
                </c:pt>
                <c:pt idx="71">
                  <c:v>12180</c:v>
                </c:pt>
                <c:pt idx="72">
                  <c:v>4500</c:v>
                </c:pt>
                <c:pt idx="73">
                  <c:v>14330</c:v>
                </c:pt>
                <c:pt idx="74">
                  <c:v>3995</c:v>
                </c:pt>
                <c:pt idx="75">
                  <c:v>11643</c:v>
                </c:pt>
                <c:pt idx="76">
                  <c:v>2495</c:v>
                </c:pt>
                <c:pt idx="77">
                  <c:v>10430</c:v>
                </c:pt>
                <c:pt idx="78">
                  <c:v>5495</c:v>
                </c:pt>
                <c:pt idx="79">
                  <c:v>2495</c:v>
                </c:pt>
              </c:numCache>
            </c:numRef>
          </c:xVal>
          <c:yVal>
            <c:numRef>
              <c:f>'data and visluasition'!$C$2:$C$81</c:f>
              <c:numCache>
                <c:formatCode>General</c:formatCode>
                <c:ptCount val="80"/>
                <c:pt idx="0">
                  <c:v>2022</c:v>
                </c:pt>
                <c:pt idx="1">
                  <c:v>2011</c:v>
                </c:pt>
                <c:pt idx="2">
                  <c:v>2017</c:v>
                </c:pt>
                <c:pt idx="3">
                  <c:v>2015</c:v>
                </c:pt>
                <c:pt idx="4">
                  <c:v>2020</c:v>
                </c:pt>
                <c:pt idx="5">
                  <c:v>2022</c:v>
                </c:pt>
                <c:pt idx="6">
                  <c:v>2021</c:v>
                </c:pt>
                <c:pt idx="7">
                  <c:v>2016</c:v>
                </c:pt>
                <c:pt idx="8">
                  <c:v>2014</c:v>
                </c:pt>
                <c:pt idx="9">
                  <c:v>2016</c:v>
                </c:pt>
                <c:pt idx="10">
                  <c:v>2012</c:v>
                </c:pt>
                <c:pt idx="11">
                  <c:v>2022</c:v>
                </c:pt>
                <c:pt idx="12">
                  <c:v>2023</c:v>
                </c:pt>
                <c:pt idx="13">
                  <c:v>2010</c:v>
                </c:pt>
                <c:pt idx="14">
                  <c:v>2021</c:v>
                </c:pt>
                <c:pt idx="15">
                  <c:v>2010</c:v>
                </c:pt>
                <c:pt idx="16">
                  <c:v>2016</c:v>
                </c:pt>
                <c:pt idx="17">
                  <c:v>2022</c:v>
                </c:pt>
                <c:pt idx="18">
                  <c:v>2009</c:v>
                </c:pt>
                <c:pt idx="19">
                  <c:v>2010</c:v>
                </c:pt>
                <c:pt idx="20">
                  <c:v>2006</c:v>
                </c:pt>
                <c:pt idx="21">
                  <c:v>2022</c:v>
                </c:pt>
                <c:pt idx="22">
                  <c:v>2023</c:v>
                </c:pt>
                <c:pt idx="23">
                  <c:v>2009</c:v>
                </c:pt>
                <c:pt idx="24">
                  <c:v>2016</c:v>
                </c:pt>
                <c:pt idx="25">
                  <c:v>2021</c:v>
                </c:pt>
                <c:pt idx="26">
                  <c:v>2019</c:v>
                </c:pt>
                <c:pt idx="27">
                  <c:v>2016</c:v>
                </c:pt>
                <c:pt idx="28">
                  <c:v>2017</c:v>
                </c:pt>
                <c:pt idx="29">
                  <c:v>2009</c:v>
                </c:pt>
                <c:pt idx="30">
                  <c:v>2010</c:v>
                </c:pt>
                <c:pt idx="31">
                  <c:v>2013</c:v>
                </c:pt>
                <c:pt idx="32">
                  <c:v>2018</c:v>
                </c:pt>
                <c:pt idx="33">
                  <c:v>2023</c:v>
                </c:pt>
                <c:pt idx="34">
                  <c:v>2016</c:v>
                </c:pt>
                <c:pt idx="35">
                  <c:v>2013</c:v>
                </c:pt>
                <c:pt idx="36">
                  <c:v>2015</c:v>
                </c:pt>
                <c:pt idx="37">
                  <c:v>2015</c:v>
                </c:pt>
                <c:pt idx="38">
                  <c:v>2013</c:v>
                </c:pt>
                <c:pt idx="39">
                  <c:v>2015</c:v>
                </c:pt>
                <c:pt idx="40">
                  <c:v>2022</c:v>
                </c:pt>
                <c:pt idx="41">
                  <c:v>2009</c:v>
                </c:pt>
                <c:pt idx="42">
                  <c:v>2009</c:v>
                </c:pt>
                <c:pt idx="43">
                  <c:v>2015</c:v>
                </c:pt>
                <c:pt idx="44">
                  <c:v>2016</c:v>
                </c:pt>
                <c:pt idx="45">
                  <c:v>2018</c:v>
                </c:pt>
                <c:pt idx="46">
                  <c:v>2023</c:v>
                </c:pt>
                <c:pt idx="47">
                  <c:v>2010</c:v>
                </c:pt>
                <c:pt idx="48">
                  <c:v>2010</c:v>
                </c:pt>
                <c:pt idx="49">
                  <c:v>2011</c:v>
                </c:pt>
                <c:pt idx="50">
                  <c:v>2018</c:v>
                </c:pt>
                <c:pt idx="51">
                  <c:v>2020</c:v>
                </c:pt>
                <c:pt idx="52">
                  <c:v>2022</c:v>
                </c:pt>
                <c:pt idx="53">
                  <c:v>2015</c:v>
                </c:pt>
                <c:pt idx="54">
                  <c:v>2012</c:v>
                </c:pt>
                <c:pt idx="55">
                  <c:v>2007</c:v>
                </c:pt>
                <c:pt idx="56">
                  <c:v>2022</c:v>
                </c:pt>
                <c:pt idx="57">
                  <c:v>2018</c:v>
                </c:pt>
                <c:pt idx="58">
                  <c:v>2004</c:v>
                </c:pt>
                <c:pt idx="59">
                  <c:v>2008</c:v>
                </c:pt>
                <c:pt idx="60">
                  <c:v>2008</c:v>
                </c:pt>
                <c:pt idx="61">
                  <c:v>2018</c:v>
                </c:pt>
                <c:pt idx="62">
                  <c:v>2012</c:v>
                </c:pt>
                <c:pt idx="63">
                  <c:v>2004</c:v>
                </c:pt>
                <c:pt idx="64">
                  <c:v>2019</c:v>
                </c:pt>
                <c:pt idx="65">
                  <c:v>2012</c:v>
                </c:pt>
                <c:pt idx="66">
                  <c:v>2018</c:v>
                </c:pt>
                <c:pt idx="67">
                  <c:v>2011</c:v>
                </c:pt>
                <c:pt idx="68">
                  <c:v>2011</c:v>
                </c:pt>
                <c:pt idx="69">
                  <c:v>2010</c:v>
                </c:pt>
                <c:pt idx="70">
                  <c:v>2011</c:v>
                </c:pt>
                <c:pt idx="71">
                  <c:v>2020</c:v>
                </c:pt>
                <c:pt idx="72">
                  <c:v>2011</c:v>
                </c:pt>
                <c:pt idx="73">
                  <c:v>2023</c:v>
                </c:pt>
                <c:pt idx="74">
                  <c:v>2015</c:v>
                </c:pt>
                <c:pt idx="75">
                  <c:v>2021</c:v>
                </c:pt>
                <c:pt idx="76">
                  <c:v>2014</c:v>
                </c:pt>
                <c:pt idx="77">
                  <c:v>2018</c:v>
                </c:pt>
                <c:pt idx="78">
                  <c:v>2015</c:v>
                </c:pt>
                <c:pt idx="79">
                  <c:v>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E-4D73-9A1F-B5C7F197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629744"/>
        <c:axId val="423630224"/>
      </c:scatterChart>
      <c:valAx>
        <c:axId val="42362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30224"/>
        <c:crosses val="autoZero"/>
        <c:crossBetween val="midCat"/>
      </c:valAx>
      <c:valAx>
        <c:axId val="4236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2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Price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and visluasition'!$AB$16</c:f>
              <c:strCache>
                <c:ptCount val="1"/>
                <c:pt idx="0">
                  <c:v>Column2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'data and visluasition'!$AA$17:$AA$29</c:f>
              <c:strCache>
                <c:ptCount val="13"/>
                <c:pt idx="0">
                  <c:v> £0-£1,000</c:v>
                </c:pt>
                <c:pt idx="1">
                  <c:v> £1,001-£2,000  </c:v>
                </c:pt>
                <c:pt idx="2">
                  <c:v> £2,001-£3,000</c:v>
                </c:pt>
                <c:pt idx="3">
                  <c:v> £3,001-£4,000</c:v>
                </c:pt>
                <c:pt idx="4">
                  <c:v>£4,001-£5,000</c:v>
                </c:pt>
                <c:pt idx="5">
                  <c:v>£5,001-£6,000</c:v>
                </c:pt>
                <c:pt idx="6">
                  <c:v>£6,001-£7,000</c:v>
                </c:pt>
                <c:pt idx="7">
                  <c:v>£7,001-£8,000</c:v>
                </c:pt>
                <c:pt idx="8">
                  <c:v>£8,001-£9,000</c:v>
                </c:pt>
                <c:pt idx="9">
                  <c:v> £9,001-£10,000</c:v>
                </c:pt>
                <c:pt idx="10">
                  <c:v> £10,001-£12,000</c:v>
                </c:pt>
                <c:pt idx="11">
                  <c:v> £12,001-£14,000</c:v>
                </c:pt>
                <c:pt idx="12">
                  <c:v> £14,001+</c:v>
                </c:pt>
              </c:strCache>
            </c:strRef>
          </c:cat>
          <c:val>
            <c:numRef>
              <c:f>'data and visluasition'!$AB$17:$AB$29</c:f>
              <c:numCache>
                <c:formatCode>General</c:formatCode>
                <c:ptCount val="13"/>
                <c:pt idx="0">
                  <c:v>6</c:v>
                </c:pt>
                <c:pt idx="1">
                  <c:v>9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8-468A-AA94-AC548223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8407759"/>
        <c:axId val="1638403919"/>
      </c:barChart>
      <c:catAx>
        <c:axId val="163840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  <a:r>
                  <a:rPr lang="en-IN" baseline="0"/>
                  <a:t> (GDP)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03919"/>
        <c:crosses val="autoZero"/>
        <c:auto val="1"/>
        <c:lblAlgn val="ctr"/>
        <c:lblOffset val="100"/>
        <c:noMultiLvlLbl val="0"/>
      </c:catAx>
      <c:valAx>
        <c:axId val="16384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0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and visluasition'!$D$1</c:f>
              <c:strCache>
                <c:ptCount val="1"/>
                <c:pt idx="0">
                  <c:v>MILEAGE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'data and visluasition'!$B$2:$B$81</c:f>
              <c:numCache>
                <c:formatCode>_-[$£-809]* #,##0.00_-;\-[$£-809]* #,##0.00_-;_-[$£-809]* "-"??_-;_-@_-</c:formatCode>
                <c:ptCount val="80"/>
                <c:pt idx="0">
                  <c:v>10899</c:v>
                </c:pt>
                <c:pt idx="1">
                  <c:v>1965</c:v>
                </c:pt>
                <c:pt idx="2">
                  <c:v>9952</c:v>
                </c:pt>
                <c:pt idx="3">
                  <c:v>3850</c:v>
                </c:pt>
                <c:pt idx="4">
                  <c:v>6490</c:v>
                </c:pt>
                <c:pt idx="5">
                  <c:v>10899</c:v>
                </c:pt>
                <c:pt idx="6">
                  <c:v>12889</c:v>
                </c:pt>
                <c:pt idx="7">
                  <c:v>3790</c:v>
                </c:pt>
                <c:pt idx="8">
                  <c:v>4695</c:v>
                </c:pt>
                <c:pt idx="9">
                  <c:v>3790</c:v>
                </c:pt>
                <c:pt idx="10">
                  <c:v>1599</c:v>
                </c:pt>
                <c:pt idx="11">
                  <c:v>14205</c:v>
                </c:pt>
                <c:pt idx="12">
                  <c:v>18990</c:v>
                </c:pt>
                <c:pt idx="13">
                  <c:v>3500</c:v>
                </c:pt>
                <c:pt idx="14">
                  <c:v>10750</c:v>
                </c:pt>
                <c:pt idx="15">
                  <c:v>2385</c:v>
                </c:pt>
                <c:pt idx="16">
                  <c:v>3995</c:v>
                </c:pt>
                <c:pt idx="17">
                  <c:v>12699</c:v>
                </c:pt>
                <c:pt idx="18">
                  <c:v>1895</c:v>
                </c:pt>
                <c:pt idx="19">
                  <c:v>2385</c:v>
                </c:pt>
                <c:pt idx="20">
                  <c:v>1199</c:v>
                </c:pt>
                <c:pt idx="21">
                  <c:v>12699</c:v>
                </c:pt>
                <c:pt idx="22">
                  <c:v>16949</c:v>
                </c:pt>
                <c:pt idx="23">
                  <c:v>1650</c:v>
                </c:pt>
                <c:pt idx="24">
                  <c:v>3995</c:v>
                </c:pt>
                <c:pt idx="25">
                  <c:v>12099</c:v>
                </c:pt>
                <c:pt idx="26">
                  <c:v>6099</c:v>
                </c:pt>
                <c:pt idx="27">
                  <c:v>6790</c:v>
                </c:pt>
                <c:pt idx="28">
                  <c:v>9129</c:v>
                </c:pt>
                <c:pt idx="29">
                  <c:v>2250</c:v>
                </c:pt>
                <c:pt idx="30">
                  <c:v>3500</c:v>
                </c:pt>
                <c:pt idx="31">
                  <c:v>3250</c:v>
                </c:pt>
                <c:pt idx="32">
                  <c:v>4350</c:v>
                </c:pt>
                <c:pt idx="33">
                  <c:v>12499</c:v>
                </c:pt>
                <c:pt idx="34">
                  <c:v>5000</c:v>
                </c:pt>
                <c:pt idx="35">
                  <c:v>4000</c:v>
                </c:pt>
                <c:pt idx="36">
                  <c:v>2500</c:v>
                </c:pt>
                <c:pt idx="37">
                  <c:v>1495</c:v>
                </c:pt>
                <c:pt idx="38">
                  <c:v>3250</c:v>
                </c:pt>
                <c:pt idx="39">
                  <c:v>3999</c:v>
                </c:pt>
                <c:pt idx="40">
                  <c:v>13629</c:v>
                </c:pt>
                <c:pt idx="41">
                  <c:v>1689</c:v>
                </c:pt>
                <c:pt idx="42">
                  <c:v>1689</c:v>
                </c:pt>
                <c:pt idx="43">
                  <c:v>2350</c:v>
                </c:pt>
                <c:pt idx="44">
                  <c:v>8139</c:v>
                </c:pt>
                <c:pt idx="45">
                  <c:v>4995</c:v>
                </c:pt>
                <c:pt idx="46">
                  <c:v>12490</c:v>
                </c:pt>
                <c:pt idx="47">
                  <c:v>2500</c:v>
                </c:pt>
                <c:pt idx="48">
                  <c:v>2500</c:v>
                </c:pt>
                <c:pt idx="49">
                  <c:v>3080</c:v>
                </c:pt>
                <c:pt idx="50">
                  <c:v>8995</c:v>
                </c:pt>
                <c:pt idx="51">
                  <c:v>11267</c:v>
                </c:pt>
                <c:pt idx="52">
                  <c:v>11844</c:v>
                </c:pt>
                <c:pt idx="53">
                  <c:v>3521</c:v>
                </c:pt>
                <c:pt idx="54">
                  <c:v>3850</c:v>
                </c:pt>
                <c:pt idx="55">
                  <c:v>1000</c:v>
                </c:pt>
                <c:pt idx="56">
                  <c:v>10000</c:v>
                </c:pt>
                <c:pt idx="57">
                  <c:v>4995</c:v>
                </c:pt>
                <c:pt idx="58">
                  <c:v>595</c:v>
                </c:pt>
                <c:pt idx="59">
                  <c:v>850</c:v>
                </c:pt>
                <c:pt idx="60">
                  <c:v>850</c:v>
                </c:pt>
                <c:pt idx="61">
                  <c:v>4350</c:v>
                </c:pt>
                <c:pt idx="62">
                  <c:v>3000</c:v>
                </c:pt>
                <c:pt idx="63">
                  <c:v>595</c:v>
                </c:pt>
                <c:pt idx="64">
                  <c:v>7700</c:v>
                </c:pt>
                <c:pt idx="65">
                  <c:v>999</c:v>
                </c:pt>
                <c:pt idx="66">
                  <c:v>4350</c:v>
                </c:pt>
                <c:pt idx="67">
                  <c:v>1590</c:v>
                </c:pt>
                <c:pt idx="68">
                  <c:v>2499</c:v>
                </c:pt>
                <c:pt idx="69">
                  <c:v>9750</c:v>
                </c:pt>
                <c:pt idx="70">
                  <c:v>4500</c:v>
                </c:pt>
                <c:pt idx="71">
                  <c:v>12180</c:v>
                </c:pt>
                <c:pt idx="72">
                  <c:v>4500</c:v>
                </c:pt>
                <c:pt idx="73">
                  <c:v>14330</c:v>
                </c:pt>
                <c:pt idx="74">
                  <c:v>3995</c:v>
                </c:pt>
                <c:pt idx="75">
                  <c:v>11643</c:v>
                </c:pt>
                <c:pt idx="76">
                  <c:v>2495</c:v>
                </c:pt>
                <c:pt idx="77">
                  <c:v>10430</c:v>
                </c:pt>
                <c:pt idx="78">
                  <c:v>5495</c:v>
                </c:pt>
                <c:pt idx="79">
                  <c:v>2495</c:v>
                </c:pt>
              </c:numCache>
            </c:numRef>
          </c:xVal>
          <c:yVal>
            <c:numRef>
              <c:f>'data and visluasition'!$D$2:$D$81</c:f>
              <c:numCache>
                <c:formatCode>General</c:formatCode>
                <c:ptCount val="80"/>
                <c:pt idx="0">
                  <c:v>42573</c:v>
                </c:pt>
                <c:pt idx="1">
                  <c:v>96000</c:v>
                </c:pt>
                <c:pt idx="2">
                  <c:v>33800</c:v>
                </c:pt>
                <c:pt idx="3">
                  <c:v>95025</c:v>
                </c:pt>
                <c:pt idx="4">
                  <c:v>38600</c:v>
                </c:pt>
                <c:pt idx="5">
                  <c:v>42573</c:v>
                </c:pt>
                <c:pt idx="6">
                  <c:v>23080</c:v>
                </c:pt>
                <c:pt idx="7">
                  <c:v>69000</c:v>
                </c:pt>
                <c:pt idx="8">
                  <c:v>54907</c:v>
                </c:pt>
                <c:pt idx="9">
                  <c:v>69000</c:v>
                </c:pt>
                <c:pt idx="10">
                  <c:v>65113</c:v>
                </c:pt>
                <c:pt idx="11">
                  <c:v>11410</c:v>
                </c:pt>
                <c:pt idx="12">
                  <c:v>14531</c:v>
                </c:pt>
                <c:pt idx="13">
                  <c:v>124627</c:v>
                </c:pt>
                <c:pt idx="14">
                  <c:v>20108</c:v>
                </c:pt>
                <c:pt idx="15">
                  <c:v>82380</c:v>
                </c:pt>
                <c:pt idx="16">
                  <c:v>83900</c:v>
                </c:pt>
                <c:pt idx="17">
                  <c:v>17995</c:v>
                </c:pt>
                <c:pt idx="18">
                  <c:v>68000</c:v>
                </c:pt>
                <c:pt idx="19">
                  <c:v>82380</c:v>
                </c:pt>
                <c:pt idx="20">
                  <c:v>70444</c:v>
                </c:pt>
                <c:pt idx="21">
                  <c:v>17995</c:v>
                </c:pt>
                <c:pt idx="22">
                  <c:v>9102</c:v>
                </c:pt>
                <c:pt idx="23">
                  <c:v>86900</c:v>
                </c:pt>
                <c:pt idx="24">
                  <c:v>83900</c:v>
                </c:pt>
                <c:pt idx="25">
                  <c:v>19147</c:v>
                </c:pt>
                <c:pt idx="26">
                  <c:v>103000</c:v>
                </c:pt>
                <c:pt idx="27">
                  <c:v>32494</c:v>
                </c:pt>
                <c:pt idx="28">
                  <c:v>28395</c:v>
                </c:pt>
                <c:pt idx="29">
                  <c:v>52000</c:v>
                </c:pt>
                <c:pt idx="30">
                  <c:v>124627</c:v>
                </c:pt>
                <c:pt idx="31">
                  <c:v>73850</c:v>
                </c:pt>
                <c:pt idx="32">
                  <c:v>93400</c:v>
                </c:pt>
                <c:pt idx="33">
                  <c:v>9930</c:v>
                </c:pt>
                <c:pt idx="34">
                  <c:v>73000</c:v>
                </c:pt>
                <c:pt idx="35">
                  <c:v>78970</c:v>
                </c:pt>
                <c:pt idx="36">
                  <c:v>114000</c:v>
                </c:pt>
                <c:pt idx="37">
                  <c:v>114000</c:v>
                </c:pt>
                <c:pt idx="38">
                  <c:v>73850</c:v>
                </c:pt>
                <c:pt idx="39">
                  <c:v>84800</c:v>
                </c:pt>
                <c:pt idx="40">
                  <c:v>18714</c:v>
                </c:pt>
                <c:pt idx="41">
                  <c:v>107000</c:v>
                </c:pt>
                <c:pt idx="42">
                  <c:v>10700</c:v>
                </c:pt>
                <c:pt idx="43">
                  <c:v>106800</c:v>
                </c:pt>
                <c:pt idx="44">
                  <c:v>26187</c:v>
                </c:pt>
                <c:pt idx="45">
                  <c:v>73461</c:v>
                </c:pt>
                <c:pt idx="46">
                  <c:v>37800</c:v>
                </c:pt>
                <c:pt idx="47">
                  <c:v>102500</c:v>
                </c:pt>
                <c:pt idx="48">
                  <c:v>102500</c:v>
                </c:pt>
                <c:pt idx="49">
                  <c:v>76546</c:v>
                </c:pt>
                <c:pt idx="50">
                  <c:v>37598</c:v>
                </c:pt>
                <c:pt idx="51">
                  <c:v>26067</c:v>
                </c:pt>
                <c:pt idx="52">
                  <c:v>14099</c:v>
                </c:pt>
                <c:pt idx="53">
                  <c:v>80000</c:v>
                </c:pt>
                <c:pt idx="54">
                  <c:v>56678</c:v>
                </c:pt>
                <c:pt idx="55">
                  <c:v>72000</c:v>
                </c:pt>
                <c:pt idx="56">
                  <c:v>46180</c:v>
                </c:pt>
                <c:pt idx="57">
                  <c:v>73461</c:v>
                </c:pt>
                <c:pt idx="58">
                  <c:v>109000</c:v>
                </c:pt>
                <c:pt idx="59">
                  <c:v>101214</c:v>
                </c:pt>
                <c:pt idx="60">
                  <c:v>101214</c:v>
                </c:pt>
                <c:pt idx="61">
                  <c:v>93400</c:v>
                </c:pt>
                <c:pt idx="62">
                  <c:v>78000</c:v>
                </c:pt>
                <c:pt idx="63">
                  <c:v>10900</c:v>
                </c:pt>
                <c:pt idx="64">
                  <c:v>57000</c:v>
                </c:pt>
                <c:pt idx="65">
                  <c:v>98000</c:v>
                </c:pt>
                <c:pt idx="66">
                  <c:v>93400</c:v>
                </c:pt>
                <c:pt idx="67">
                  <c:v>112000</c:v>
                </c:pt>
                <c:pt idx="68">
                  <c:v>100150</c:v>
                </c:pt>
                <c:pt idx="69">
                  <c:v>57000</c:v>
                </c:pt>
                <c:pt idx="70">
                  <c:v>61000</c:v>
                </c:pt>
                <c:pt idx="71">
                  <c:v>20990</c:v>
                </c:pt>
                <c:pt idx="72">
                  <c:v>61000</c:v>
                </c:pt>
                <c:pt idx="73">
                  <c:v>26697</c:v>
                </c:pt>
                <c:pt idx="74">
                  <c:v>95000</c:v>
                </c:pt>
                <c:pt idx="75">
                  <c:v>42100</c:v>
                </c:pt>
                <c:pt idx="76">
                  <c:v>91000</c:v>
                </c:pt>
                <c:pt idx="77">
                  <c:v>30365</c:v>
                </c:pt>
                <c:pt idx="78">
                  <c:v>105000</c:v>
                </c:pt>
                <c:pt idx="79">
                  <c:v>117000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9-4724-98A5-8C403918C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953711"/>
        <c:axId val="1961955631"/>
      </c:scatterChart>
      <c:valAx>
        <c:axId val="196195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 (GBP)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55631"/>
        <c:crosses val="autoZero"/>
        <c:crossBetween val="midCat"/>
      </c:valAx>
      <c:valAx>
        <c:axId val="19619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5371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/>
    <cx:plotArea>
      <cx:plotAreaRegion>
        <cx:series layoutId="boxWhisker" uniqueId="{486E014B-3B84-4C46-8571-BF48D918B1F1}">
          <cx:tx>
            <cx:txData>
              <cx:f>_xlchart.v1.0</cx:f>
              <cx:v> PRICE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720028</xdr:colOff>
      <xdr:row>10</xdr:row>
      <xdr:rowOff>54604</xdr:rowOff>
    </xdr:from>
    <xdr:to>
      <xdr:col>36</xdr:col>
      <xdr:colOff>241638</xdr:colOff>
      <xdr:row>24</xdr:row>
      <xdr:rowOff>157291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8B4709-2DE4-DCEF-26DB-8BB6AF9D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544286</xdr:colOff>
      <xdr:row>1</xdr:row>
      <xdr:rowOff>163286</xdr:rowOff>
    </xdr:from>
    <xdr:to>
      <xdr:col>28</xdr:col>
      <xdr:colOff>422366</xdr:colOff>
      <xdr:row>13</xdr:row>
      <xdr:rowOff>157843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83E56-49DC-A621-58D8-83C3B1353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468086</xdr:colOff>
      <xdr:row>31</xdr:row>
      <xdr:rowOff>163286</xdr:rowOff>
    </xdr:from>
    <xdr:to>
      <xdr:col>24</xdr:col>
      <xdr:colOff>925286</xdr:colOff>
      <xdr:row>45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0A7D82-44BE-DA22-F731-B9D8AA80B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240785</xdr:colOff>
      <xdr:row>29</xdr:row>
      <xdr:rowOff>60633</xdr:rowOff>
    </xdr:from>
    <xdr:to>
      <xdr:col>29</xdr:col>
      <xdr:colOff>470648</xdr:colOff>
      <xdr:row>43</xdr:row>
      <xdr:rowOff>108310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51D673E-4AE8-2201-4A17-76B4586294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70305" y="6072813"/>
              <a:ext cx="4862823" cy="2752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zar" refreshedDate="45964.831377662034" createdVersion="8" refreshedVersion="8" minRefreshableVersion="3" recordCount="80" xr:uid="{671C0069-A355-4BA3-9B7B-0D03960BA2B9}">
  <cacheSource type="worksheet">
    <worksheetSource ref="M1:N81" sheet="data and visluasition"/>
  </cacheSource>
  <cacheFields count="13">
    <cacheField name="ID " numFmtId="0">
      <sharedItems containsSemiMixedTypes="0" containsString="0" containsNumber="1" containsInteger="1" minValue="1" maxValue="100"/>
    </cacheField>
    <cacheField name="PRICE" numFmtId="165">
      <sharedItems containsSemiMixedTypes="0" containsString="0" containsNumber="1" containsInteger="1" minValue="595" maxValue="18990"/>
    </cacheField>
    <cacheField name="YEAR" numFmtId="0">
      <sharedItems containsSemiMixedTypes="0" containsString="0" containsNumber="1" containsInteger="1" minValue="2004" maxValue="2023"/>
    </cacheField>
    <cacheField name="MILEAGE" numFmtId="0">
      <sharedItems containsSemiMixedTypes="0" containsString="0" containsNumber="1" containsInteger="1" minValue="9102" maxValue="124627"/>
    </cacheField>
    <cacheField name="FULE TYPE " numFmtId="49">
      <sharedItems/>
    </cacheField>
    <cacheField name="TRANSMISSION" numFmtId="0">
      <sharedItems/>
    </cacheField>
    <cacheField name="ENGINE SIZE" numFmtId="0">
      <sharedItems/>
    </cacheField>
    <cacheField name="BODY  TYPE " numFmtId="0">
      <sharedItems/>
    </cacheField>
    <cacheField name="DOOR " numFmtId="0">
      <sharedItems containsSemiMixedTypes="0" containsString="0" containsNumber="1" containsInteger="1" minValue="3" maxValue="5"/>
    </cacheField>
    <cacheField name="COLOUR" numFmtId="0">
      <sharedItems/>
    </cacheField>
    <cacheField name="EMMISION CLASS" numFmtId="0">
      <sharedItems/>
    </cacheField>
    <cacheField name="random" numFmtId="0">
      <sharedItems containsSemiMixedTypes="0" containsString="0" containsNumber="1" minValue="1.1552081573701245E-2" maxValue="0.78407044597966447"/>
    </cacheField>
    <cacheField name="FUEL_TYPE_CLEAN" numFmtId="0">
      <sharedItems count="3">
        <s v="Petrol"/>
        <s v="Petrol Hybrid"/>
        <s v="Dies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zar" refreshedDate="45964.837387037034" createdVersion="8" refreshedVersion="8" minRefreshableVersion="3" recordCount="80" xr:uid="{ECCBD023-7136-4BE2-81BB-C0A9AA15F756}">
  <cacheSource type="worksheet">
    <worksheetSource name="Table2"/>
  </cacheSource>
  <cacheFields count="12">
    <cacheField name="ID " numFmtId="0">
      <sharedItems containsSemiMixedTypes="0" containsString="0" containsNumber="1" containsInteger="1" minValue="1" maxValue="100"/>
    </cacheField>
    <cacheField name="PRICE" numFmtId="165">
      <sharedItems containsSemiMixedTypes="0" containsString="0" containsNumber="1" containsInteger="1" minValue="595" maxValue="18990" count="61">
        <n v="10899"/>
        <n v="1965"/>
        <n v="2385"/>
        <n v="3500"/>
        <n v="9952"/>
        <n v="3995"/>
        <n v="595"/>
        <n v="3850"/>
        <n v="1590"/>
        <n v="12699"/>
        <n v="6790"/>
        <n v="850"/>
        <n v="3250"/>
        <n v="6490"/>
        <n v="2350"/>
        <n v="2499"/>
        <n v="8139"/>
        <n v="4995"/>
        <n v="4350"/>
        <n v="1689"/>
        <n v="12490"/>
        <n v="9750"/>
        <n v="12499"/>
        <n v="4500"/>
        <n v="2500"/>
        <n v="3080"/>
        <n v="9129"/>
        <n v="12180"/>
        <n v="8995"/>
        <n v="5000"/>
        <n v="12889"/>
        <n v="4000"/>
        <n v="3790"/>
        <n v="1895"/>
        <n v="3000"/>
        <n v="1495"/>
        <n v="11267"/>
        <n v="4695"/>
        <n v="1199"/>
        <n v="16949"/>
        <n v="7700"/>
        <n v="2250"/>
        <n v="1599"/>
        <n v="14330"/>
        <n v="11643"/>
        <n v="11844"/>
        <n v="14205"/>
        <n v="999"/>
        <n v="2495"/>
        <n v="3521"/>
        <n v="1650"/>
        <n v="10430"/>
        <n v="5495"/>
        <n v="3999"/>
        <n v="13629"/>
        <n v="12099"/>
        <n v="18990"/>
        <n v="6099"/>
        <n v="10750"/>
        <n v="1000"/>
        <n v="10000"/>
      </sharedItems>
      <fieldGroup base="1">
        <rangePr autoStart="0" autoEnd="0" startNum="0" endNum="20000" groupInterval="2000"/>
        <groupItems count="12">
          <s v="&lt;0"/>
          <s v="0-1999"/>
          <s v="2000-3999"/>
          <s v="4000-5999"/>
          <s v="6000-7999"/>
          <s v="8000-9999"/>
          <s v="10000-11999"/>
          <s v="12000-13999"/>
          <s v="14000-15999"/>
          <s v="16000-17999"/>
          <s v="18000-20000"/>
          <s v="&gt;20000"/>
        </groupItems>
      </fieldGroup>
    </cacheField>
    <cacheField name="YEAR" numFmtId="0">
      <sharedItems containsSemiMixedTypes="0" containsString="0" containsNumber="1" containsInteger="1" minValue="2004" maxValue="2023"/>
    </cacheField>
    <cacheField name="MILEAGE" numFmtId="0">
      <sharedItems containsSemiMixedTypes="0" containsString="0" containsNumber="1" containsInteger="1" minValue="9102" maxValue="124627"/>
    </cacheField>
    <cacheField name="FULE TYPE" numFmtId="0">
      <sharedItems count="3">
        <s v="Petrol"/>
        <s v="Petrol Hybrid"/>
        <s v="Diesel"/>
      </sharedItems>
    </cacheField>
    <cacheField name="TRANSMISSION" numFmtId="0">
      <sharedItems/>
    </cacheField>
    <cacheField name="ENGINE SIZE" numFmtId="0">
      <sharedItems/>
    </cacheField>
    <cacheField name="BODY  TYPE " numFmtId="0">
      <sharedItems/>
    </cacheField>
    <cacheField name="DOOR " numFmtId="0">
      <sharedItems containsSemiMixedTypes="0" containsString="0" containsNumber="1" containsInteger="1" minValue="3" maxValue="5"/>
    </cacheField>
    <cacheField name="COLOUR" numFmtId="0">
      <sharedItems/>
    </cacheField>
    <cacheField name="EMMISION CLASS" numFmtId="0">
      <sharedItems/>
    </cacheField>
    <cacheField name="random" numFmtId="0">
      <sharedItems containsSemiMixedTypes="0" containsString="0" containsNumber="1" minValue="1.1552081573701245E-2" maxValue="0.784070445979664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zar" refreshedDate="45967.865945717589" createdVersion="8" refreshedVersion="8" minRefreshableVersion="3" recordCount="80" xr:uid="{A2A47CFC-ED76-4669-B1B1-4AB65577F4B1}">
  <cacheSource type="worksheet">
    <worksheetSource ref="A1:N81" sheet="data and visluasition"/>
  </cacheSource>
  <cacheFields count="14">
    <cacheField name="ID " numFmtId="0">
      <sharedItems containsSemiMixedTypes="0" containsString="0" containsNumber="1" containsInteger="1" minValue="1" maxValue="100"/>
    </cacheField>
    <cacheField name="PRICE" numFmtId="165">
      <sharedItems containsSemiMixedTypes="0" containsString="0" containsNumber="1" containsInteger="1" minValue="595" maxValue="18990"/>
    </cacheField>
    <cacheField name="YEAR" numFmtId="0">
      <sharedItems containsSemiMixedTypes="0" containsString="0" containsNumber="1" containsInteger="1" minValue="2004" maxValue="2023"/>
    </cacheField>
    <cacheField name="MILEAGE" numFmtId="0">
      <sharedItems containsSemiMixedTypes="0" containsString="0" containsNumber="1" containsInteger="1" minValue="9102" maxValue="124627"/>
    </cacheField>
    <cacheField name="FULE TYPE" numFmtId="0">
      <sharedItems count="3">
        <s v="Petrol"/>
        <s v="Petrol Hybrid"/>
        <s v="Diesel"/>
      </sharedItems>
    </cacheField>
    <cacheField name="TRANSMISSION" numFmtId="0">
      <sharedItems count="2">
        <s v="Manual"/>
        <s v="Automatic"/>
      </sharedItems>
    </cacheField>
    <cacheField name="ENGINE SIZE" numFmtId="0">
      <sharedItems/>
    </cacheField>
    <cacheField name="BODY  TYPE " numFmtId="0">
      <sharedItems/>
    </cacheField>
    <cacheField name="DOOR " numFmtId="0">
      <sharedItems containsSemiMixedTypes="0" containsString="0" containsNumber="1" containsInteger="1" minValue="3" maxValue="5"/>
    </cacheField>
    <cacheField name="COLOUR" numFmtId="0">
      <sharedItems/>
    </cacheField>
    <cacheField name="EMMISION CLASS" numFmtId="0">
      <sharedItems/>
    </cacheField>
    <cacheField name="random" numFmtId="0">
      <sharedItems containsSemiMixedTypes="0" containsString="0" containsNumber="1" minValue="1.1552081573701245E-2" maxValue="0.78407044597966447"/>
    </cacheField>
    <cacheField name="age" numFmtId="0">
      <sharedItems containsSemiMixedTypes="0" containsString="0" containsNumber="1" containsInteger="1" minValue="1" maxValue="20"/>
    </cacheField>
    <cacheField name="liter" numFmtId="0">
      <sharedItems containsSemiMixedTypes="0" containsString="0" containsNumber="1" minValue="1" maxValue="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42"/>
    <n v="10899"/>
    <n v="2022"/>
    <n v="42573"/>
    <s v="Petrol"/>
    <s v="Manual"/>
    <s v="1.0L"/>
    <s v="Hatchback"/>
    <n v="5"/>
    <s v="Black"/>
    <s v="Euro 6"/>
    <n v="1.1552081573701245E-2"/>
    <x v="0"/>
  </r>
  <r>
    <n v="73"/>
    <n v="1965"/>
    <n v="2011"/>
    <n v="96000"/>
    <s v="Petrol"/>
    <s v="Manual"/>
    <s v="1.3L"/>
    <s v="Hatchback"/>
    <n v="5"/>
    <s v="Black"/>
    <s v="Euro 5"/>
    <n v="1.4177722061521014E-2"/>
    <x v="0"/>
  </r>
  <r>
    <n v="20"/>
    <n v="2385"/>
    <n v="2010"/>
    <n v="82380"/>
    <s v="Petrol"/>
    <s v="Manual"/>
    <s v="1.3L"/>
    <s v="Hatchback"/>
    <n v="5"/>
    <s v="Blue"/>
    <s v="Euro 4 "/>
    <n v="1.9928586162592077E-2"/>
    <x v="0"/>
  </r>
  <r>
    <n v="70"/>
    <n v="3500"/>
    <n v="2010"/>
    <n v="124627"/>
    <s v="Petrol"/>
    <s v="Automatic"/>
    <s v="1.4L"/>
    <s v="Hatchback"/>
    <n v="5"/>
    <s v="Grey"/>
    <s v="Euro 4"/>
    <n v="5.3244275431412857E-2"/>
    <x v="0"/>
  </r>
  <r>
    <n v="53"/>
    <n v="9952"/>
    <n v="2017"/>
    <n v="33800"/>
    <s v="Petrol"/>
    <s v="Automatic"/>
    <s v="1.0L"/>
    <s v="Hatchback"/>
    <n v="5"/>
    <s v="Black"/>
    <s v="Euro 6"/>
    <n v="6.0039178754221378E-2"/>
    <x v="0"/>
  </r>
  <r>
    <n v="36"/>
    <n v="3995"/>
    <n v="2016"/>
    <n v="83900"/>
    <s v="Petrol"/>
    <s v="Manual"/>
    <s v="1.0L"/>
    <s v="Hatchback"/>
    <n v="5"/>
    <s v="Blue"/>
    <s v="Euro 6"/>
    <n v="6.1383138335915244E-2"/>
    <x v="0"/>
  </r>
  <r>
    <n v="37"/>
    <n v="595"/>
    <n v="2004"/>
    <n v="109000"/>
    <s v="Petrol"/>
    <s v="Manual"/>
    <s v="1.4L"/>
    <s v="Hatchback"/>
    <n v="3"/>
    <s v="Sliver"/>
    <s v="Euro 4"/>
    <n v="8.1249633107021935E-2"/>
    <x v="0"/>
  </r>
  <r>
    <n v="76"/>
    <n v="3850"/>
    <n v="2015"/>
    <n v="95025"/>
    <s v="Petrol"/>
    <s v="Manual"/>
    <s v="1.0L"/>
    <s v="Hatchback"/>
    <n v="3"/>
    <s v="Black"/>
    <s v="Euro 6"/>
    <n v="0.11425483651912482"/>
    <x v="0"/>
  </r>
  <r>
    <n v="19"/>
    <n v="1590"/>
    <n v="2011"/>
    <n v="112000"/>
    <s v="Petrol"/>
    <s v="Manual"/>
    <s v="1.3L"/>
    <s v="Hatchback"/>
    <n v="3"/>
    <s v="White"/>
    <s v="Euro 5"/>
    <n v="0.11783121624151693"/>
    <x v="0"/>
  </r>
  <r>
    <n v="9"/>
    <n v="12699"/>
    <n v="2022"/>
    <n v="17995"/>
    <s v="Petrol Hybrid"/>
    <s v="Automatic"/>
    <s v="1.0L"/>
    <s v="Hatchback"/>
    <n v="5"/>
    <s v="Blue"/>
    <s v="Euro 6"/>
    <n v="0.11943184572401799"/>
    <x v="1"/>
  </r>
  <r>
    <n v="83"/>
    <n v="6790"/>
    <n v="2016"/>
    <n v="32494"/>
    <s v="Petrol"/>
    <s v="Manual"/>
    <s v="1.3L"/>
    <s v="Hatchback"/>
    <n v="3"/>
    <s v="Brown"/>
    <s v="Euro 6"/>
    <n v="0.12782311383362632"/>
    <x v="0"/>
  </r>
  <r>
    <n v="25"/>
    <n v="850"/>
    <n v="2008"/>
    <n v="101214"/>
    <s v="Petrol"/>
    <s v="Manual"/>
    <s v="1.4L"/>
    <s v="Hatchback"/>
    <n v="5"/>
    <s v="Sliver"/>
    <s v="Euro 4 "/>
    <n v="0.14312956086985162"/>
    <x v="0"/>
  </r>
  <r>
    <n v="28"/>
    <n v="3250"/>
    <n v="2013"/>
    <n v="73850"/>
    <s v="Petrol"/>
    <s v="Manual"/>
    <s v="1.0L"/>
    <s v="Hatchback"/>
    <n v="5"/>
    <s v="Grey"/>
    <s v="Euro 5"/>
    <n v="0.14957810587943388"/>
    <x v="0"/>
  </r>
  <r>
    <n v="57"/>
    <n v="6490"/>
    <n v="2020"/>
    <n v="38600"/>
    <s v="Petrol"/>
    <s v="Manual"/>
    <s v="1.0L"/>
    <s v="Hatchback"/>
    <n v="5"/>
    <s v="Black"/>
    <s v="Euro 6 "/>
    <n v="0.15088538515329519"/>
    <x v="0"/>
  </r>
  <r>
    <n v="65"/>
    <n v="2350"/>
    <n v="2015"/>
    <n v="106800"/>
    <s v="Petrol"/>
    <s v="Manual"/>
    <s v="1.3L"/>
    <s v="Hatchback"/>
    <n v="3"/>
    <s v="Red"/>
    <s v="Euro 5"/>
    <n v="0.15524455363862721"/>
    <x v="0"/>
  </r>
  <r>
    <n v="15"/>
    <n v="850"/>
    <n v="2008"/>
    <n v="101214"/>
    <s v="Petrol"/>
    <s v="Manual"/>
    <s v="1.4L"/>
    <s v="Hatchback"/>
    <n v="5"/>
    <s v="Sliver"/>
    <s v="Euro 4 "/>
    <n v="0.15668438927829809"/>
    <x v="0"/>
  </r>
  <r>
    <n v="49"/>
    <n v="2499"/>
    <n v="2011"/>
    <n v="100150"/>
    <s v="Petrol"/>
    <s v="Manual"/>
    <s v="1.6L"/>
    <s v="Hatchback"/>
    <n v="3"/>
    <s v="White"/>
    <s v="Euro 5"/>
    <n v="0.18677047273517522"/>
    <x v="0"/>
  </r>
  <r>
    <n v="88"/>
    <n v="8139"/>
    <n v="2016"/>
    <n v="26187"/>
    <s v="Petrol"/>
    <s v="Manual"/>
    <s v="1.3L"/>
    <s v="Hatchback"/>
    <n v="5"/>
    <s v="Red"/>
    <s v="Euro 6"/>
    <n v="0.18843431430780011"/>
    <x v="0"/>
  </r>
  <r>
    <n v="71"/>
    <n v="4995"/>
    <n v="2018"/>
    <n v="73461"/>
    <s v="Petrol"/>
    <s v="Manual"/>
    <s v="1.0L"/>
    <s v="Hatchback"/>
    <n v="3"/>
    <s v="Red"/>
    <s v="Euro 6"/>
    <n v="0.19096078633486657"/>
    <x v="0"/>
  </r>
  <r>
    <n v="67"/>
    <n v="4350"/>
    <n v="2018"/>
    <n v="93400"/>
    <s v="Petrol"/>
    <s v="Manual"/>
    <s v="1.0L"/>
    <s v="Hatchback"/>
    <n v="3"/>
    <s v="Sliver"/>
    <s v="Euro 6"/>
    <n v="0.19618393459286743"/>
    <x v="0"/>
  </r>
  <r>
    <n v="97"/>
    <n v="10899"/>
    <n v="2022"/>
    <n v="42573"/>
    <s v="Petrol"/>
    <s v="Manual"/>
    <s v="1.0L"/>
    <s v="Hatchback"/>
    <n v="5"/>
    <s v="Black"/>
    <s v="Euro 6"/>
    <n v="0.19920046403553493"/>
    <x v="0"/>
  </r>
  <r>
    <n v="17"/>
    <n v="1689"/>
    <n v="2009"/>
    <n v="107000"/>
    <s v="Diesel"/>
    <s v="Manual"/>
    <s v="1.4L"/>
    <s v="Hatchback"/>
    <n v="5"/>
    <s v="Pink"/>
    <s v="Euro 4 "/>
    <n v="0.19965918671304694"/>
    <x v="2"/>
  </r>
  <r>
    <n v="10"/>
    <n v="12490"/>
    <n v="2023"/>
    <n v="37800"/>
    <s v="Petrol Hybrid"/>
    <s v="Automatic"/>
    <s v="1.0L"/>
    <s v="Hatchback"/>
    <n v="5"/>
    <s v="Red"/>
    <s v="Euro 6"/>
    <n v="0.20247997370838555"/>
    <x v="1"/>
  </r>
  <r>
    <n v="61"/>
    <n v="9750"/>
    <n v="2010"/>
    <n v="57000"/>
    <s v="Petrol"/>
    <s v="Manual"/>
    <s v="1.0L"/>
    <s v="Hatchback"/>
    <n v="5"/>
    <s v="White"/>
    <s v="Euro 6"/>
    <n v="0.21161017533008131"/>
    <x v="0"/>
  </r>
  <r>
    <n v="47"/>
    <n v="4350"/>
    <n v="2018"/>
    <n v="93400"/>
    <s v="Petrol"/>
    <s v="Manual"/>
    <s v="1.0L"/>
    <s v="Hatchback"/>
    <n v="3"/>
    <s v="Grey"/>
    <s v="Euro 6"/>
    <n v="0.21875197619916653"/>
    <x v="0"/>
  </r>
  <r>
    <n v="12"/>
    <n v="12499"/>
    <n v="2023"/>
    <n v="9930"/>
    <s v="Petrol Hybrid"/>
    <s v="Automatic"/>
    <s v="1.0L"/>
    <s v="Hatchback"/>
    <n v="5"/>
    <s v="Grey"/>
    <s v="Euro 6"/>
    <n v="0.22416071908651647"/>
    <x v="1"/>
  </r>
  <r>
    <n v="66"/>
    <n v="4500"/>
    <n v="2011"/>
    <n v="61000"/>
    <s v="Petrol"/>
    <s v="Manual"/>
    <s v="1.6L"/>
    <s v="Hatchback"/>
    <n v="3"/>
    <s v="White"/>
    <s v="Euro5"/>
    <n v="0.23544781069473797"/>
    <x v="0"/>
  </r>
  <r>
    <n v="26"/>
    <n v="2500"/>
    <n v="2010"/>
    <n v="102500"/>
    <s v="Petrol"/>
    <s v="Manual"/>
    <s v="1.4L"/>
    <s v="Hatchback"/>
    <n v="3"/>
    <s v="Red"/>
    <s v="Euro 5"/>
    <n v="0.24994170517528813"/>
    <x v="0"/>
  </r>
  <r>
    <n v="16"/>
    <n v="2500"/>
    <n v="2010"/>
    <n v="102500"/>
    <s v="Petrol  "/>
    <s v="Automatic"/>
    <s v="1.4L"/>
    <s v="Hatchback"/>
    <n v="3"/>
    <s v="Red"/>
    <s v="Euro 5"/>
    <n v="0.25511887653928011"/>
    <x v="0"/>
  </r>
  <r>
    <n v="63"/>
    <n v="3080"/>
    <n v="2011"/>
    <n v="76546"/>
    <s v="Petrol"/>
    <s v="Manual"/>
    <s v="1.3L"/>
    <s v="Hatchback"/>
    <n v="5"/>
    <s v="Red"/>
    <s v="Euro 5"/>
    <n v="0.2554037055260594"/>
    <x v="0"/>
  </r>
  <r>
    <n v="52"/>
    <n v="9129"/>
    <n v="2017"/>
    <n v="28395"/>
    <s v="Petrol"/>
    <s v="Manual"/>
    <s v="1.0L"/>
    <s v="Hatchback"/>
    <n v="5"/>
    <s v="Gery"/>
    <s v="Euro 6"/>
    <n v="0.26639843218776527"/>
    <x v="0"/>
  </r>
  <r>
    <n v="92"/>
    <n v="12180"/>
    <n v="2020"/>
    <n v="20990"/>
    <s v="Petrol"/>
    <s v="Manual"/>
    <s v="1.0L"/>
    <s v="Hatchback"/>
    <n v="5"/>
    <s v="White"/>
    <s v="Euro 6"/>
    <n v="0.27206197660604148"/>
    <x v="0"/>
  </r>
  <r>
    <n v="58"/>
    <n v="8995"/>
    <n v="2018"/>
    <n v="37598"/>
    <s v="Petrol"/>
    <s v="Manual"/>
    <s v="1.0L"/>
    <s v="Hatchback"/>
    <n v="3"/>
    <s v="Red"/>
    <s v="Euro 6"/>
    <n v="0.27682025864917226"/>
    <x v="0"/>
  </r>
  <r>
    <n v="21"/>
    <n v="5000"/>
    <n v="2016"/>
    <n v="73000"/>
    <s v="Petrol"/>
    <s v="Manual"/>
    <s v="1.0L"/>
    <s v="Hatchback"/>
    <n v="3"/>
    <s v="Grey"/>
    <s v="Euro 6"/>
    <n v="0.27714119017624317"/>
    <x v="0"/>
  </r>
  <r>
    <n v="99"/>
    <n v="12889"/>
    <n v="2021"/>
    <n v="23080"/>
    <s v="Petrol"/>
    <s v="Manual"/>
    <s v="1.0L"/>
    <s v="Hatchback"/>
    <n v="5"/>
    <s v="Black"/>
    <s v="Euro 6"/>
    <n v="0.29271267139522983"/>
    <x v="0"/>
  </r>
  <r>
    <n v="62"/>
    <n v="4000"/>
    <n v="2013"/>
    <n v="78970"/>
    <s v="Petrol"/>
    <s v="Manual"/>
    <s v="1.3L"/>
    <s v="Hatchback"/>
    <n v="3"/>
    <s v="Grey"/>
    <s v="Euro 5"/>
    <n v="0.30767273132686856"/>
    <x v="0"/>
  </r>
  <r>
    <n v="45"/>
    <n v="3790"/>
    <n v="2016"/>
    <n v="69000"/>
    <s v="Petrol"/>
    <s v="Manual"/>
    <s v="1.0L"/>
    <s v="Hatchback"/>
    <n v="5"/>
    <s v="Black"/>
    <s v="Euro 6"/>
    <n v="0.31290135830326637"/>
    <x v="0"/>
  </r>
  <r>
    <n v="7"/>
    <n v="1895"/>
    <n v="2009"/>
    <n v="68000"/>
    <s v="Petrol"/>
    <s v="Manual"/>
    <s v="1.3L"/>
    <s v="Hatchback"/>
    <n v="5"/>
    <s v="Blue"/>
    <s v="Euro 5"/>
    <n v="0.31357904174358464"/>
    <x v="0"/>
  </r>
  <r>
    <n v="30"/>
    <n v="2385"/>
    <n v="2010"/>
    <n v="82380"/>
    <s v="Petrol"/>
    <s v="Manual"/>
    <s v="1.3L"/>
    <s v="Hatchback"/>
    <n v="5"/>
    <s v="Blue"/>
    <s v="Euro 4 "/>
    <n v="0.31712395962887774"/>
    <x v="0"/>
  </r>
  <r>
    <n v="90"/>
    <n v="2500"/>
    <n v="2015"/>
    <n v="114000"/>
    <s v="Petrol"/>
    <s v="Manual"/>
    <s v="1.0L"/>
    <s v="Hatchback"/>
    <n v="3"/>
    <s v="Grey"/>
    <s v="Euro 6"/>
    <n v="0.32368799968092044"/>
    <x v="0"/>
  </r>
  <r>
    <n v="80"/>
    <n v="3000"/>
    <n v="2012"/>
    <n v="78000"/>
    <s v="Petrol"/>
    <s v="Manual"/>
    <s v="1.3L"/>
    <s v="Hatchback"/>
    <n v="5"/>
    <s v="Sliver"/>
    <s v="Euro 6"/>
    <n v="0.35434214831923994"/>
    <x v="0"/>
  </r>
  <r>
    <n v="4"/>
    <n v="1495"/>
    <n v="2015"/>
    <n v="114000"/>
    <s v="Petrol"/>
    <s v="Manual"/>
    <s v="1.0L"/>
    <s v="Hatchback"/>
    <n v="3"/>
    <s v="Grey"/>
    <s v="Euro 6"/>
    <n v="0.37608998426680362"/>
    <x v="0"/>
  </r>
  <r>
    <n v="32"/>
    <n v="11267"/>
    <n v="2020"/>
    <n v="26067"/>
    <s v="Petrol"/>
    <s v="Manual"/>
    <s v="1.0L"/>
    <s v="Hatchback"/>
    <n v="5"/>
    <s v="Red"/>
    <s v="Euro 6"/>
    <n v="0.38585099593919825"/>
    <x v="0"/>
  </r>
  <r>
    <n v="8"/>
    <n v="4695"/>
    <n v="2014"/>
    <n v="54907"/>
    <s v="Petrol"/>
    <s v="Manual"/>
    <s v="1.0L"/>
    <s v="Hatchback"/>
    <n v="3"/>
    <s v="Black"/>
    <s v="Euro 5"/>
    <n v="0.39195494564010935"/>
    <x v="0"/>
  </r>
  <r>
    <n v="2"/>
    <n v="1199"/>
    <n v="2006"/>
    <n v="70444"/>
    <s v="Petrol"/>
    <s v="Manual"/>
    <s v="1.3L"/>
    <s v="Hatchback"/>
    <n v="5"/>
    <s v="Blue"/>
    <s v="Euro 4 "/>
    <n v="0.40659407446395912"/>
    <x v="0"/>
  </r>
  <r>
    <n v="89"/>
    <n v="12699"/>
    <n v="2022"/>
    <n v="17995"/>
    <s v="Petrol Hybrid"/>
    <s v="Automatic"/>
    <s v="1.0L"/>
    <s v="Hatchback"/>
    <n v="5"/>
    <s v="Blue"/>
    <s v="Euro 6"/>
    <n v="0.41288998677175937"/>
    <x v="1"/>
  </r>
  <r>
    <n v="69"/>
    <n v="3790"/>
    <n v="2016"/>
    <n v="69000"/>
    <s v="Petrol"/>
    <s v="Manual"/>
    <s v="1.0L"/>
    <s v="Hatchback"/>
    <n v="5"/>
    <s v="Black"/>
    <s v="Euro 6"/>
    <n v="0.42055626199925877"/>
    <x v="0"/>
  </r>
  <r>
    <n v="13"/>
    <n v="16949"/>
    <n v="2023"/>
    <n v="9102"/>
    <s v="Petrol Hybrid"/>
    <s v="Automatic"/>
    <s v="1.0L"/>
    <s v="Hatchback"/>
    <n v="5"/>
    <s v="Blue"/>
    <s v="Euro 6 "/>
    <n v="0.44120617399431916"/>
    <x v="1"/>
  </r>
  <r>
    <n v="48"/>
    <n v="4500"/>
    <n v="2011"/>
    <n v="61000"/>
    <s v="Petrol"/>
    <s v="Manual"/>
    <s v="1.6L"/>
    <s v="Hatchback"/>
    <n v="3"/>
    <s v="White"/>
    <s v="Euro 5"/>
    <n v="0.44153426362412274"/>
    <x v="0"/>
  </r>
  <r>
    <n v="78"/>
    <n v="595"/>
    <n v="2004"/>
    <n v="10900"/>
    <s v="Petrol"/>
    <s v="Manual"/>
    <s v="1.4L"/>
    <s v="Hatchback"/>
    <n v="3"/>
    <s v="Sliver"/>
    <s v="Euro 4"/>
    <n v="0.44372632517606259"/>
    <x v="0"/>
  </r>
  <r>
    <n v="75"/>
    <n v="7700"/>
    <n v="2019"/>
    <n v="57000"/>
    <s v="Petrol"/>
    <s v="Manual"/>
    <s v="1.0L"/>
    <s v="Hatchback"/>
    <n v="5"/>
    <s v="Sliver"/>
    <s v="Euro 6"/>
    <n v="0.44854076012616606"/>
    <x v="0"/>
  </r>
  <r>
    <n v="96"/>
    <n v="2250"/>
    <n v="2009"/>
    <n v="52000"/>
    <s v="Petrol"/>
    <s v="Manual"/>
    <s v="1.3L"/>
    <s v="Hatchback"/>
    <n v="3"/>
    <s v="Green"/>
    <s v="Euro 4"/>
    <n v="0.45780554303966958"/>
    <x v="0"/>
  </r>
  <r>
    <n v="23"/>
    <n v="1599"/>
    <n v="2012"/>
    <n v="65113"/>
    <s v="Petrol"/>
    <s v="Manual"/>
    <s v="1.3L"/>
    <s v="Hatchback"/>
    <n v="5"/>
    <s v="Black"/>
    <s v="Euro 5"/>
    <n v="0.46121070032681299"/>
    <x v="0"/>
  </r>
  <r>
    <n v="85"/>
    <n v="14330"/>
    <n v="2023"/>
    <n v="26697"/>
    <s v="Petrol"/>
    <s v="Manual"/>
    <s v="1.0L"/>
    <s v="Hatchback"/>
    <n v="5"/>
    <s v="White"/>
    <s v="Euro  6"/>
    <n v="0.46296552782842748"/>
    <x v="0"/>
  </r>
  <r>
    <n v="59"/>
    <n v="3995"/>
    <n v="2015"/>
    <n v="95000"/>
    <s v="Diesel"/>
    <s v="Manual"/>
    <s v="1.5L"/>
    <s v="Hatchback"/>
    <n v="5"/>
    <s v="White"/>
    <s v="Euro 6 "/>
    <n v="0.46913565838407023"/>
    <x v="2"/>
  </r>
  <r>
    <n v="18"/>
    <n v="3250"/>
    <n v="2013"/>
    <n v="73850"/>
    <s v="Petrol  "/>
    <s v="Manual"/>
    <s v="1.0L"/>
    <s v="Hatchback"/>
    <n v="5"/>
    <s v="Grey"/>
    <s v="Euro 5"/>
    <n v="0.47762418590650124"/>
    <x v="0"/>
  </r>
  <r>
    <n v="98"/>
    <n v="11643"/>
    <n v="2021"/>
    <n v="42100"/>
    <s v="Petrol"/>
    <s v="Manual"/>
    <s v="1.0L"/>
    <s v="Hatchback"/>
    <n v="5"/>
    <s v="White"/>
    <s v="Euro 6"/>
    <n v="0.49060292324001864"/>
    <x v="0"/>
  </r>
  <r>
    <n v="22"/>
    <n v="11844"/>
    <n v="2022"/>
    <n v="14099"/>
    <s v="Petrol "/>
    <s v="Manual"/>
    <s v="1.1L"/>
    <s v="Hatchback"/>
    <n v="5"/>
    <s v="Red"/>
    <s v="Euro 6"/>
    <n v="0.50688572186943914"/>
    <x v="0"/>
  </r>
  <r>
    <n v="64"/>
    <n v="14205"/>
    <n v="2022"/>
    <n v="11410"/>
    <s v="Petrol Hybrid"/>
    <s v="Manual"/>
    <s v="1.0L"/>
    <s v="Hatchback"/>
    <n v="5"/>
    <s v="Black"/>
    <s v="Euro 6"/>
    <n v="0.52190022526808533"/>
    <x v="1"/>
  </r>
  <r>
    <n v="1"/>
    <n v="999"/>
    <n v="2012"/>
    <n v="98000"/>
    <s v="Petrol"/>
    <s v="Manual"/>
    <s v="1.3L"/>
    <s v="Hatchback"/>
    <n v="5"/>
    <s v="Sliver"/>
    <s v="Euro 5"/>
    <n v="0.5247729603542336"/>
    <x v="0"/>
  </r>
  <r>
    <n v="34"/>
    <n v="2495"/>
    <n v="2014"/>
    <n v="91000"/>
    <s v="Petrol"/>
    <s v="Manual"/>
    <s v="1.0L"/>
    <s v="Hatchback"/>
    <n v="3"/>
    <s v="White"/>
    <s v="Euro 5"/>
    <n v="0.52663006353813735"/>
    <x v="0"/>
  </r>
  <r>
    <n v="56"/>
    <n v="3521"/>
    <n v="2015"/>
    <n v="80000"/>
    <s v="Petrol"/>
    <s v="Manual"/>
    <s v="1.0L"/>
    <s v="Hatchback"/>
    <n v="3"/>
    <s v="Red"/>
    <s v="Euro 6"/>
    <n v="0.54409881085810885"/>
    <x v="0"/>
  </r>
  <r>
    <n v="6"/>
    <n v="1650"/>
    <n v="2009"/>
    <n v="86900"/>
    <s v="Petrol"/>
    <s v="Manual"/>
    <s v="1.4L"/>
    <s v="Hatchback"/>
    <n v="5"/>
    <s v="Blue"/>
    <s v="Euro 4 "/>
    <n v="0.54432184058724031"/>
    <x v="0"/>
  </r>
  <r>
    <n v="94"/>
    <n v="10430"/>
    <n v="2018"/>
    <n v="30365"/>
    <s v="Petrol"/>
    <s v="Manual"/>
    <s v="1.0L"/>
    <s v="Hatchback"/>
    <n v="5"/>
    <s v="White"/>
    <s v="Euro 6"/>
    <n v="0.55953696281675702"/>
    <x v="0"/>
  </r>
  <r>
    <n v="84"/>
    <n v="5495"/>
    <n v="2015"/>
    <n v="105000"/>
    <s v="Petrol"/>
    <s v="Manual"/>
    <s v="1.6L"/>
    <s v="Hatchback"/>
    <n v="3"/>
    <s v="White"/>
    <s v="Euro 6"/>
    <n v="0.60695300027170451"/>
    <x v="0"/>
  </r>
  <r>
    <n v="39"/>
    <n v="3999"/>
    <n v="2015"/>
    <n v="84800"/>
    <s v="Petrol"/>
    <s v="Manual"/>
    <s v="1.0L"/>
    <s v="Hatchback"/>
    <n v="5"/>
    <s v="Grey"/>
    <s v="Euro 6"/>
    <n v="0.61472825898773253"/>
    <x v="0"/>
  </r>
  <r>
    <n v="74"/>
    <n v="3995"/>
    <n v="2016"/>
    <n v="83900"/>
    <s v="Petrol"/>
    <s v="Manual"/>
    <s v="1.0L"/>
    <s v="Hatchback"/>
    <n v="5"/>
    <s v="Blue"/>
    <s v="Euro 4"/>
    <n v="0.62324736341765585"/>
    <x v="0"/>
  </r>
  <r>
    <n v="81"/>
    <n v="3850"/>
    <n v="2012"/>
    <n v="56678"/>
    <s v="Petrol"/>
    <s v="Manual"/>
    <s v="1.3L"/>
    <s v="Hatchback"/>
    <n v="5"/>
    <s v="Red"/>
    <s v="Euro 5"/>
    <n v="0.63398365292714709"/>
    <x v="0"/>
  </r>
  <r>
    <n v="35"/>
    <n v="2495"/>
    <n v="2015"/>
    <n v="117000"/>
    <s v="Petrol"/>
    <s v="Manual"/>
    <s v="1.0L"/>
    <s v="Hatchback"/>
    <n v="3"/>
    <s v="White"/>
    <s v="Euro 6"/>
    <n v="0.6450546229737617"/>
    <x v="0"/>
  </r>
  <r>
    <n v="86"/>
    <n v="13629"/>
    <n v="2022"/>
    <n v="18714"/>
    <s v="Petrol"/>
    <s v="Manual"/>
    <s v="1.0L"/>
    <s v="Hatchback"/>
    <n v="5"/>
    <s v="Grey"/>
    <s v="Euro 6"/>
    <n v="0.6521784420701876"/>
    <x v="0"/>
  </r>
  <r>
    <n v="100"/>
    <n v="12099"/>
    <n v="2021"/>
    <n v="19147"/>
    <s v="Petrol"/>
    <s v="Manual"/>
    <s v="1.0L"/>
    <s v="Hatchback"/>
    <n v="5"/>
    <s v="Blue"/>
    <s v="Euro 6"/>
    <n v="0.65338871520871411"/>
    <x v="0"/>
  </r>
  <r>
    <n v="93"/>
    <n v="18990"/>
    <n v="2023"/>
    <n v="14531"/>
    <s v="Petrol"/>
    <s v="Manual"/>
    <s v="1.5L"/>
    <s v="Hatchback"/>
    <n v="5"/>
    <s v="Black"/>
    <s v="Euro 6"/>
    <n v="0.65759922842992469"/>
    <x v="0"/>
  </r>
  <r>
    <n v="44"/>
    <n v="3500"/>
    <n v="2010"/>
    <n v="124627"/>
    <s v="Petrol"/>
    <s v="Manual"/>
    <s v="1.4L"/>
    <s v="Hatchback"/>
    <n v="5"/>
    <s v="Black"/>
    <s v="Euro 4"/>
    <n v="0.66118224737885956"/>
    <x v="0"/>
  </r>
  <r>
    <n v="54"/>
    <n v="6099"/>
    <n v="2019"/>
    <n v="103000"/>
    <s v="Diesel"/>
    <s v="Manual"/>
    <s v="1.5L"/>
    <s v="Hatchback"/>
    <n v="5"/>
    <s v="Blue"/>
    <s v="Euro 6"/>
    <n v="0.67648901276252593"/>
    <x v="2"/>
  </r>
  <r>
    <n v="91"/>
    <n v="10750"/>
    <n v="2021"/>
    <n v="20108"/>
    <s v="Petrol"/>
    <s v="Manual"/>
    <s v="1.0L"/>
    <s v="Hatchback"/>
    <n v="5"/>
    <s v="Black "/>
    <s v="Euro 6"/>
    <n v="0.67812642202742368"/>
    <x v="0"/>
  </r>
  <r>
    <n v="41"/>
    <n v="1000"/>
    <n v="2007"/>
    <n v="72000"/>
    <s v="Petrol"/>
    <s v="Manual"/>
    <s v="1.4L"/>
    <s v="Hatchback"/>
    <n v="3"/>
    <s v="Red"/>
    <s v="Euro 4"/>
    <n v="0.69808162645653316"/>
    <x v="0"/>
  </r>
  <r>
    <n v="27"/>
    <n v="1689"/>
    <n v="2009"/>
    <n v="10700"/>
    <s v="Diesel"/>
    <s v="Manual"/>
    <s v="1.4L"/>
    <s v="Hatchback"/>
    <n v="5"/>
    <s v="Pink"/>
    <s v="Euro 5"/>
    <n v="0.69832528505895219"/>
    <x v="2"/>
  </r>
  <r>
    <n v="82"/>
    <n v="10000"/>
    <n v="2022"/>
    <n v="46180"/>
    <s v="Petrol"/>
    <s v="Manual"/>
    <s v="1.1L"/>
    <s v="Hatchback"/>
    <n v="5"/>
    <s v="Red"/>
    <s v="Euro 6"/>
    <n v="0.76045625947033912"/>
    <x v="0"/>
  </r>
  <r>
    <n v="43"/>
    <n v="4995"/>
    <n v="2018"/>
    <n v="73461"/>
    <s v="Petrol"/>
    <s v="Manual"/>
    <s v="1.0L"/>
    <s v="Hatchback"/>
    <n v="3"/>
    <s v="Red"/>
    <s v="Euro 6"/>
    <n v="0.78143396523639197"/>
    <x v="0"/>
  </r>
  <r>
    <n v="38"/>
    <n v="4350"/>
    <n v="2018"/>
    <n v="93400"/>
    <s v="Petrol"/>
    <s v="Manual"/>
    <s v="1.0L"/>
    <s v="Hatchback"/>
    <n v="3"/>
    <s v="Sliver"/>
    <s v="Euro 6"/>
    <n v="0.7840704459796644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42"/>
    <x v="0"/>
    <n v="2022"/>
    <n v="42573"/>
    <x v="0"/>
    <s v="Manual"/>
    <s v="1.0L"/>
    <s v="Hatchback"/>
    <n v="5"/>
    <s v="Black"/>
    <s v="Euro 6"/>
    <n v="1.1552081573701245E-2"/>
  </r>
  <r>
    <n v="73"/>
    <x v="1"/>
    <n v="2011"/>
    <n v="96000"/>
    <x v="0"/>
    <s v="Manual"/>
    <s v="1.3L"/>
    <s v="Hatchback"/>
    <n v="5"/>
    <s v="Black"/>
    <s v="Euro 5"/>
    <n v="1.4177722061521014E-2"/>
  </r>
  <r>
    <n v="20"/>
    <x v="2"/>
    <n v="2010"/>
    <n v="82380"/>
    <x v="0"/>
    <s v="Manual"/>
    <s v="1.3L"/>
    <s v="Hatchback"/>
    <n v="5"/>
    <s v="Blue"/>
    <s v="Euro 4 "/>
    <n v="1.9928586162592077E-2"/>
  </r>
  <r>
    <n v="70"/>
    <x v="3"/>
    <n v="2010"/>
    <n v="124627"/>
    <x v="0"/>
    <s v="Automatic"/>
    <s v="1.4L"/>
    <s v="Hatchback"/>
    <n v="5"/>
    <s v="Grey"/>
    <s v="Euro 4"/>
    <n v="5.3244275431412857E-2"/>
  </r>
  <r>
    <n v="53"/>
    <x v="4"/>
    <n v="2017"/>
    <n v="33800"/>
    <x v="0"/>
    <s v="Automatic"/>
    <s v="1.0L"/>
    <s v="Hatchback"/>
    <n v="5"/>
    <s v="Black"/>
    <s v="Euro 6"/>
    <n v="6.0039178754221378E-2"/>
  </r>
  <r>
    <n v="36"/>
    <x v="5"/>
    <n v="2016"/>
    <n v="83900"/>
    <x v="0"/>
    <s v="Manual"/>
    <s v="1.0L"/>
    <s v="Hatchback"/>
    <n v="5"/>
    <s v="Blue"/>
    <s v="Euro 6"/>
    <n v="6.1383138335915244E-2"/>
  </r>
  <r>
    <n v="37"/>
    <x v="6"/>
    <n v="2004"/>
    <n v="109000"/>
    <x v="0"/>
    <s v="Manual"/>
    <s v="1.4L"/>
    <s v="Hatchback"/>
    <n v="3"/>
    <s v="Sliver"/>
    <s v="Euro 4"/>
    <n v="8.1249633107021935E-2"/>
  </r>
  <r>
    <n v="76"/>
    <x v="7"/>
    <n v="2015"/>
    <n v="95025"/>
    <x v="0"/>
    <s v="Manual"/>
    <s v="1.0L"/>
    <s v="Hatchback"/>
    <n v="3"/>
    <s v="Black"/>
    <s v="Euro 6"/>
    <n v="0.11425483651912482"/>
  </r>
  <r>
    <n v="19"/>
    <x v="8"/>
    <n v="2011"/>
    <n v="112000"/>
    <x v="0"/>
    <s v="Manual"/>
    <s v="1.3L"/>
    <s v="Hatchback"/>
    <n v="3"/>
    <s v="White"/>
    <s v="Euro 5"/>
    <n v="0.11783121624151693"/>
  </r>
  <r>
    <n v="9"/>
    <x v="9"/>
    <n v="2022"/>
    <n v="17995"/>
    <x v="1"/>
    <s v="Automatic"/>
    <s v="1.0L"/>
    <s v="Hatchback"/>
    <n v="5"/>
    <s v="Blue"/>
    <s v="Euro 6"/>
    <n v="0.11943184572401799"/>
  </r>
  <r>
    <n v="83"/>
    <x v="10"/>
    <n v="2016"/>
    <n v="32494"/>
    <x v="0"/>
    <s v="Manual"/>
    <s v="1.3L"/>
    <s v="Hatchback"/>
    <n v="3"/>
    <s v="Brown"/>
    <s v="Euro 6"/>
    <n v="0.12782311383362632"/>
  </r>
  <r>
    <n v="25"/>
    <x v="11"/>
    <n v="2008"/>
    <n v="101214"/>
    <x v="0"/>
    <s v="Manual"/>
    <s v="1.4L"/>
    <s v="Hatchback"/>
    <n v="5"/>
    <s v="Sliver"/>
    <s v="Euro 4 "/>
    <n v="0.14312956086985162"/>
  </r>
  <r>
    <n v="28"/>
    <x v="12"/>
    <n v="2013"/>
    <n v="73850"/>
    <x v="0"/>
    <s v="Manual"/>
    <s v="1.0L"/>
    <s v="Hatchback"/>
    <n v="5"/>
    <s v="Grey"/>
    <s v="Euro 5"/>
    <n v="0.14957810587943388"/>
  </r>
  <r>
    <n v="57"/>
    <x v="13"/>
    <n v="2020"/>
    <n v="38600"/>
    <x v="0"/>
    <s v="Manual"/>
    <s v="1.0L"/>
    <s v="Hatchback"/>
    <n v="5"/>
    <s v="Black"/>
    <s v="Euro 6 "/>
    <n v="0.15088538515329519"/>
  </r>
  <r>
    <n v="65"/>
    <x v="14"/>
    <n v="2015"/>
    <n v="106800"/>
    <x v="0"/>
    <s v="Manual"/>
    <s v="1.3L"/>
    <s v="Hatchback"/>
    <n v="3"/>
    <s v="Red"/>
    <s v="Euro 5"/>
    <n v="0.15524455363862721"/>
  </r>
  <r>
    <n v="15"/>
    <x v="11"/>
    <n v="2008"/>
    <n v="101214"/>
    <x v="0"/>
    <s v="Manual"/>
    <s v="1.4L"/>
    <s v="Hatchback"/>
    <n v="5"/>
    <s v="Sliver"/>
    <s v="Euro 4 "/>
    <n v="0.15668438927829809"/>
  </r>
  <r>
    <n v="49"/>
    <x v="15"/>
    <n v="2011"/>
    <n v="100150"/>
    <x v="0"/>
    <s v="Manual"/>
    <s v="1.6L"/>
    <s v="Hatchback"/>
    <n v="3"/>
    <s v="White"/>
    <s v="Euro 5"/>
    <n v="0.18677047273517522"/>
  </r>
  <r>
    <n v="88"/>
    <x v="16"/>
    <n v="2016"/>
    <n v="26187"/>
    <x v="0"/>
    <s v="Manual"/>
    <s v="1.3L"/>
    <s v="Hatchback"/>
    <n v="5"/>
    <s v="Red"/>
    <s v="Euro 6"/>
    <n v="0.18843431430780011"/>
  </r>
  <r>
    <n v="71"/>
    <x v="17"/>
    <n v="2018"/>
    <n v="73461"/>
    <x v="0"/>
    <s v="Manual"/>
    <s v="1.0L"/>
    <s v="Hatchback"/>
    <n v="3"/>
    <s v="Red"/>
    <s v="Euro 6"/>
    <n v="0.19096078633486657"/>
  </r>
  <r>
    <n v="67"/>
    <x v="18"/>
    <n v="2018"/>
    <n v="93400"/>
    <x v="0"/>
    <s v="Manual"/>
    <s v="1.0L"/>
    <s v="Hatchback"/>
    <n v="3"/>
    <s v="Sliver"/>
    <s v="Euro 6"/>
    <n v="0.19618393459286743"/>
  </r>
  <r>
    <n v="97"/>
    <x v="0"/>
    <n v="2022"/>
    <n v="42573"/>
    <x v="0"/>
    <s v="Manual"/>
    <s v="1.0L"/>
    <s v="Hatchback"/>
    <n v="5"/>
    <s v="Black"/>
    <s v="Euro 6"/>
    <n v="0.19920046403553493"/>
  </r>
  <r>
    <n v="17"/>
    <x v="19"/>
    <n v="2009"/>
    <n v="107000"/>
    <x v="2"/>
    <s v="Manual"/>
    <s v="1.4L"/>
    <s v="Hatchback"/>
    <n v="5"/>
    <s v="Pink"/>
    <s v="Euro 4 "/>
    <n v="0.19965918671304694"/>
  </r>
  <r>
    <n v="10"/>
    <x v="20"/>
    <n v="2023"/>
    <n v="37800"/>
    <x v="1"/>
    <s v="Automatic"/>
    <s v="1.0L"/>
    <s v="Hatchback"/>
    <n v="5"/>
    <s v="Red"/>
    <s v="Euro 6"/>
    <n v="0.20247997370838555"/>
  </r>
  <r>
    <n v="61"/>
    <x v="21"/>
    <n v="2010"/>
    <n v="57000"/>
    <x v="0"/>
    <s v="Manual"/>
    <s v="1.0L"/>
    <s v="Hatchback"/>
    <n v="5"/>
    <s v="White"/>
    <s v="Euro 6"/>
    <n v="0.21161017533008131"/>
  </r>
  <r>
    <n v="47"/>
    <x v="18"/>
    <n v="2018"/>
    <n v="93400"/>
    <x v="0"/>
    <s v="Manual"/>
    <s v="1.0L"/>
    <s v="Hatchback"/>
    <n v="3"/>
    <s v="Grey"/>
    <s v="Euro 6"/>
    <n v="0.21875197619916653"/>
  </r>
  <r>
    <n v="12"/>
    <x v="22"/>
    <n v="2023"/>
    <n v="9930"/>
    <x v="1"/>
    <s v="Automatic"/>
    <s v="1.0L"/>
    <s v="Hatchback"/>
    <n v="5"/>
    <s v="Grey"/>
    <s v="Euro 6"/>
    <n v="0.22416071908651647"/>
  </r>
  <r>
    <n v="66"/>
    <x v="23"/>
    <n v="2011"/>
    <n v="61000"/>
    <x v="0"/>
    <s v="Manual"/>
    <s v="1.6L"/>
    <s v="Hatchback"/>
    <n v="3"/>
    <s v="White"/>
    <s v="Euro5"/>
    <n v="0.23544781069473797"/>
  </r>
  <r>
    <n v="26"/>
    <x v="24"/>
    <n v="2010"/>
    <n v="102500"/>
    <x v="0"/>
    <s v="Manual"/>
    <s v="1.4L"/>
    <s v="Hatchback"/>
    <n v="3"/>
    <s v="Red"/>
    <s v="Euro 5"/>
    <n v="0.24994170517528813"/>
  </r>
  <r>
    <n v="16"/>
    <x v="24"/>
    <n v="2010"/>
    <n v="102500"/>
    <x v="0"/>
    <s v="Automatic"/>
    <s v="1.4L"/>
    <s v="Hatchback"/>
    <n v="3"/>
    <s v="Red"/>
    <s v="Euro 5"/>
    <n v="0.25511887653928011"/>
  </r>
  <r>
    <n v="63"/>
    <x v="25"/>
    <n v="2011"/>
    <n v="76546"/>
    <x v="0"/>
    <s v="Manual"/>
    <s v="1.3L"/>
    <s v="Hatchback"/>
    <n v="5"/>
    <s v="Red"/>
    <s v="Euro 5"/>
    <n v="0.2554037055260594"/>
  </r>
  <r>
    <n v="52"/>
    <x v="26"/>
    <n v="2017"/>
    <n v="28395"/>
    <x v="0"/>
    <s v="Manual"/>
    <s v="1.0L"/>
    <s v="Hatchback"/>
    <n v="5"/>
    <s v="Gery"/>
    <s v="Euro 6"/>
    <n v="0.26639843218776527"/>
  </r>
  <r>
    <n v="92"/>
    <x v="27"/>
    <n v="2020"/>
    <n v="20990"/>
    <x v="0"/>
    <s v="Manual"/>
    <s v="1.0L"/>
    <s v="Hatchback"/>
    <n v="5"/>
    <s v="White"/>
    <s v="Euro 6"/>
    <n v="0.27206197660604148"/>
  </r>
  <r>
    <n v="58"/>
    <x v="28"/>
    <n v="2018"/>
    <n v="37598"/>
    <x v="0"/>
    <s v="Manual"/>
    <s v="1.0L"/>
    <s v="Hatchback"/>
    <n v="3"/>
    <s v="Red"/>
    <s v="Euro 6"/>
    <n v="0.27682025864917226"/>
  </r>
  <r>
    <n v="21"/>
    <x v="29"/>
    <n v="2016"/>
    <n v="73000"/>
    <x v="0"/>
    <s v="Manual"/>
    <s v="1.0L"/>
    <s v="Hatchback"/>
    <n v="3"/>
    <s v="Grey"/>
    <s v="Euro 6"/>
    <n v="0.27714119017624317"/>
  </r>
  <r>
    <n v="99"/>
    <x v="30"/>
    <n v="2021"/>
    <n v="23080"/>
    <x v="0"/>
    <s v="Manual"/>
    <s v="1.0L"/>
    <s v="Hatchback"/>
    <n v="5"/>
    <s v="Black"/>
    <s v="Euro 6"/>
    <n v="0.29271267139522983"/>
  </r>
  <r>
    <n v="62"/>
    <x v="31"/>
    <n v="2013"/>
    <n v="78970"/>
    <x v="0"/>
    <s v="Manual"/>
    <s v="1.3L"/>
    <s v="Hatchback"/>
    <n v="3"/>
    <s v="Grey"/>
    <s v="Euro 5"/>
    <n v="0.30767273132686856"/>
  </r>
  <r>
    <n v="45"/>
    <x v="32"/>
    <n v="2016"/>
    <n v="69000"/>
    <x v="0"/>
    <s v="Manual"/>
    <s v="1.0L"/>
    <s v="Hatchback"/>
    <n v="5"/>
    <s v="Black"/>
    <s v="Euro 6"/>
    <n v="0.31290135830326637"/>
  </r>
  <r>
    <n v="7"/>
    <x v="33"/>
    <n v="2009"/>
    <n v="68000"/>
    <x v="0"/>
    <s v="Manual"/>
    <s v="1.3L"/>
    <s v="Hatchback"/>
    <n v="5"/>
    <s v="Blue"/>
    <s v="Euro 5"/>
    <n v="0.31357904174358464"/>
  </r>
  <r>
    <n v="30"/>
    <x v="2"/>
    <n v="2010"/>
    <n v="82380"/>
    <x v="0"/>
    <s v="Manual"/>
    <s v="1.3L"/>
    <s v="Hatchback"/>
    <n v="5"/>
    <s v="Blue"/>
    <s v="Euro 4 "/>
    <n v="0.31712395962887774"/>
  </r>
  <r>
    <n v="90"/>
    <x v="24"/>
    <n v="2015"/>
    <n v="114000"/>
    <x v="0"/>
    <s v="Manual"/>
    <s v="1.0L"/>
    <s v="Hatchback"/>
    <n v="3"/>
    <s v="Grey"/>
    <s v="Euro 6"/>
    <n v="0.32368799968092044"/>
  </r>
  <r>
    <n v="80"/>
    <x v="34"/>
    <n v="2012"/>
    <n v="78000"/>
    <x v="0"/>
    <s v="Manual"/>
    <s v="1.3L"/>
    <s v="Hatchback"/>
    <n v="5"/>
    <s v="Sliver"/>
    <s v="Euro 6"/>
    <n v="0.35434214831923994"/>
  </r>
  <r>
    <n v="4"/>
    <x v="35"/>
    <n v="2015"/>
    <n v="114000"/>
    <x v="0"/>
    <s v="Manual"/>
    <s v="1.0L"/>
    <s v="Hatchback"/>
    <n v="3"/>
    <s v="Grey"/>
    <s v="Euro 6"/>
    <n v="0.37608998426680362"/>
  </r>
  <r>
    <n v="32"/>
    <x v="36"/>
    <n v="2020"/>
    <n v="26067"/>
    <x v="0"/>
    <s v="Manual"/>
    <s v="1.0L"/>
    <s v="Hatchback"/>
    <n v="5"/>
    <s v="Red"/>
    <s v="Euro 6"/>
    <n v="0.38585099593919825"/>
  </r>
  <r>
    <n v="8"/>
    <x v="37"/>
    <n v="2014"/>
    <n v="54907"/>
    <x v="0"/>
    <s v="Manual"/>
    <s v="1.0L"/>
    <s v="Hatchback"/>
    <n v="3"/>
    <s v="Black"/>
    <s v="Euro 5"/>
    <n v="0.39195494564010935"/>
  </r>
  <r>
    <n v="2"/>
    <x v="38"/>
    <n v="2006"/>
    <n v="70444"/>
    <x v="0"/>
    <s v="Manual"/>
    <s v="1.3L"/>
    <s v="Hatchback"/>
    <n v="5"/>
    <s v="Blue"/>
    <s v="Euro 4 "/>
    <n v="0.40659407446395912"/>
  </r>
  <r>
    <n v="89"/>
    <x v="9"/>
    <n v="2022"/>
    <n v="17995"/>
    <x v="1"/>
    <s v="Automatic"/>
    <s v="1.0L"/>
    <s v="Hatchback"/>
    <n v="5"/>
    <s v="Blue"/>
    <s v="Euro 6"/>
    <n v="0.41288998677175937"/>
  </r>
  <r>
    <n v="69"/>
    <x v="32"/>
    <n v="2016"/>
    <n v="69000"/>
    <x v="0"/>
    <s v="Manual"/>
    <s v="1.0L"/>
    <s v="Hatchback"/>
    <n v="5"/>
    <s v="Black"/>
    <s v="Euro 6"/>
    <n v="0.42055626199925877"/>
  </r>
  <r>
    <n v="13"/>
    <x v="39"/>
    <n v="2023"/>
    <n v="9102"/>
    <x v="1"/>
    <s v="Automatic"/>
    <s v="1.0L"/>
    <s v="Hatchback"/>
    <n v="5"/>
    <s v="Blue"/>
    <s v="Euro 6 "/>
    <n v="0.44120617399431916"/>
  </r>
  <r>
    <n v="48"/>
    <x v="23"/>
    <n v="2011"/>
    <n v="61000"/>
    <x v="0"/>
    <s v="Manual"/>
    <s v="1.6L"/>
    <s v="Hatchback"/>
    <n v="3"/>
    <s v="White"/>
    <s v="Euro 5"/>
    <n v="0.44153426362412274"/>
  </r>
  <r>
    <n v="78"/>
    <x v="6"/>
    <n v="2004"/>
    <n v="10900"/>
    <x v="0"/>
    <s v="Manual"/>
    <s v="1.4L"/>
    <s v="Hatchback"/>
    <n v="3"/>
    <s v="Sliver"/>
    <s v="Euro 4"/>
    <n v="0.44372632517606259"/>
  </r>
  <r>
    <n v="75"/>
    <x v="40"/>
    <n v="2019"/>
    <n v="57000"/>
    <x v="0"/>
    <s v="Manual"/>
    <s v="1.0L"/>
    <s v="Hatchback"/>
    <n v="5"/>
    <s v="Sliver"/>
    <s v="Euro 6"/>
    <n v="0.44854076012616606"/>
  </r>
  <r>
    <n v="96"/>
    <x v="41"/>
    <n v="2009"/>
    <n v="52000"/>
    <x v="0"/>
    <s v="Manual"/>
    <s v="1.3L"/>
    <s v="Hatchback"/>
    <n v="3"/>
    <s v="Green"/>
    <s v="Euro 4"/>
    <n v="0.45780554303966958"/>
  </r>
  <r>
    <n v="23"/>
    <x v="42"/>
    <n v="2012"/>
    <n v="65113"/>
    <x v="0"/>
    <s v="Manual"/>
    <s v="1.3L"/>
    <s v="Hatchback"/>
    <n v="5"/>
    <s v="Black"/>
    <s v="Euro 5"/>
    <n v="0.46121070032681299"/>
  </r>
  <r>
    <n v="85"/>
    <x v="43"/>
    <n v="2023"/>
    <n v="26697"/>
    <x v="0"/>
    <s v="Manual"/>
    <s v="1.0L"/>
    <s v="Hatchback"/>
    <n v="5"/>
    <s v="White"/>
    <s v="Euro  6"/>
    <n v="0.46296552782842748"/>
  </r>
  <r>
    <n v="59"/>
    <x v="5"/>
    <n v="2015"/>
    <n v="95000"/>
    <x v="2"/>
    <s v="Manual"/>
    <s v="1.5L"/>
    <s v="Hatchback"/>
    <n v="5"/>
    <s v="White"/>
    <s v="Euro 6 "/>
    <n v="0.46913565838407023"/>
  </r>
  <r>
    <n v="18"/>
    <x v="12"/>
    <n v="2013"/>
    <n v="73850"/>
    <x v="0"/>
    <s v="Manual"/>
    <s v="1.0L"/>
    <s v="Hatchback"/>
    <n v="5"/>
    <s v="Grey"/>
    <s v="Euro 5"/>
    <n v="0.47762418590650124"/>
  </r>
  <r>
    <n v="98"/>
    <x v="44"/>
    <n v="2021"/>
    <n v="42100"/>
    <x v="0"/>
    <s v="Manual"/>
    <s v="1.0L"/>
    <s v="Hatchback"/>
    <n v="5"/>
    <s v="White"/>
    <s v="Euro 6"/>
    <n v="0.49060292324001864"/>
  </r>
  <r>
    <n v="22"/>
    <x v="45"/>
    <n v="2022"/>
    <n v="14099"/>
    <x v="0"/>
    <s v="Manual"/>
    <s v="1.1L"/>
    <s v="Hatchback"/>
    <n v="5"/>
    <s v="Red"/>
    <s v="Euro 6"/>
    <n v="0.50688572186943914"/>
  </r>
  <r>
    <n v="64"/>
    <x v="46"/>
    <n v="2022"/>
    <n v="11410"/>
    <x v="1"/>
    <s v="Manual"/>
    <s v="1.0L"/>
    <s v="Hatchback"/>
    <n v="5"/>
    <s v="Black"/>
    <s v="Euro 6"/>
    <n v="0.52190022526808533"/>
  </r>
  <r>
    <n v="1"/>
    <x v="47"/>
    <n v="2012"/>
    <n v="98000"/>
    <x v="0"/>
    <s v="Manual"/>
    <s v="1.3L"/>
    <s v="Hatchback"/>
    <n v="5"/>
    <s v="Sliver"/>
    <s v="Euro 5"/>
    <n v="0.5247729603542336"/>
  </r>
  <r>
    <n v="34"/>
    <x v="48"/>
    <n v="2014"/>
    <n v="91000"/>
    <x v="0"/>
    <s v="Manual"/>
    <s v="1.0L"/>
    <s v="Hatchback"/>
    <n v="3"/>
    <s v="White"/>
    <s v="Euro 5"/>
    <n v="0.52663006353813735"/>
  </r>
  <r>
    <n v="56"/>
    <x v="49"/>
    <n v="2015"/>
    <n v="80000"/>
    <x v="0"/>
    <s v="Manual"/>
    <s v="1.0L"/>
    <s v="Hatchback"/>
    <n v="3"/>
    <s v="Red"/>
    <s v="Euro 6"/>
    <n v="0.54409881085810885"/>
  </r>
  <r>
    <n v="6"/>
    <x v="50"/>
    <n v="2009"/>
    <n v="86900"/>
    <x v="0"/>
    <s v="Manual"/>
    <s v="1.4L"/>
    <s v="Hatchback"/>
    <n v="5"/>
    <s v="Blue"/>
    <s v="Euro 4 "/>
    <n v="0.54432184058724031"/>
  </r>
  <r>
    <n v="94"/>
    <x v="51"/>
    <n v="2018"/>
    <n v="30365"/>
    <x v="0"/>
    <s v="Manual"/>
    <s v="1.0L"/>
    <s v="Hatchback"/>
    <n v="5"/>
    <s v="White"/>
    <s v="Euro 6"/>
    <n v="0.55953696281675702"/>
  </r>
  <r>
    <n v="84"/>
    <x v="52"/>
    <n v="2015"/>
    <n v="105000"/>
    <x v="0"/>
    <s v="Manual"/>
    <s v="1.6L"/>
    <s v="Hatchback"/>
    <n v="3"/>
    <s v="White"/>
    <s v="Euro 6"/>
    <n v="0.60695300027170451"/>
  </r>
  <r>
    <n v="39"/>
    <x v="53"/>
    <n v="2015"/>
    <n v="84800"/>
    <x v="0"/>
    <s v="Manual"/>
    <s v="1.0L"/>
    <s v="Hatchback"/>
    <n v="5"/>
    <s v="Grey"/>
    <s v="Euro 6"/>
    <n v="0.61472825898773253"/>
  </r>
  <r>
    <n v="74"/>
    <x v="5"/>
    <n v="2016"/>
    <n v="83900"/>
    <x v="0"/>
    <s v="Manual"/>
    <s v="1.0L"/>
    <s v="Hatchback"/>
    <n v="5"/>
    <s v="Blue"/>
    <s v="Euro 4"/>
    <n v="0.62324736341765585"/>
  </r>
  <r>
    <n v="81"/>
    <x v="7"/>
    <n v="2012"/>
    <n v="56678"/>
    <x v="0"/>
    <s v="Manual"/>
    <s v="1.3L"/>
    <s v="Hatchback"/>
    <n v="5"/>
    <s v="Red"/>
    <s v="Euro 5"/>
    <n v="0.63398365292714709"/>
  </r>
  <r>
    <n v="35"/>
    <x v="48"/>
    <n v="2015"/>
    <n v="117000"/>
    <x v="0"/>
    <s v="Manual"/>
    <s v="1.0L"/>
    <s v="Hatchback"/>
    <n v="3"/>
    <s v="White"/>
    <s v="Euro 6"/>
    <n v="0.6450546229737617"/>
  </r>
  <r>
    <n v="86"/>
    <x v="54"/>
    <n v="2022"/>
    <n v="18714"/>
    <x v="0"/>
    <s v="Manual"/>
    <s v="1.0L"/>
    <s v="Hatchback"/>
    <n v="5"/>
    <s v="Grey"/>
    <s v="Euro 6"/>
    <n v="0.6521784420701876"/>
  </r>
  <r>
    <n v="100"/>
    <x v="55"/>
    <n v="2021"/>
    <n v="19147"/>
    <x v="0"/>
    <s v="Manual"/>
    <s v="1.0L"/>
    <s v="Hatchback"/>
    <n v="5"/>
    <s v="Blue"/>
    <s v="Euro 6"/>
    <n v="0.65338871520871411"/>
  </r>
  <r>
    <n v="93"/>
    <x v="56"/>
    <n v="2023"/>
    <n v="14531"/>
    <x v="0"/>
    <s v="Manual"/>
    <s v="1.5L"/>
    <s v="Hatchback"/>
    <n v="5"/>
    <s v="Black"/>
    <s v="Euro 6"/>
    <n v="0.65759922842992469"/>
  </r>
  <r>
    <n v="44"/>
    <x v="3"/>
    <n v="2010"/>
    <n v="124627"/>
    <x v="0"/>
    <s v="Manual"/>
    <s v="1.4L"/>
    <s v="Hatchback"/>
    <n v="5"/>
    <s v="Black"/>
    <s v="Euro 4"/>
    <n v="0.66118224737885956"/>
  </r>
  <r>
    <n v="54"/>
    <x v="57"/>
    <n v="2019"/>
    <n v="103000"/>
    <x v="2"/>
    <s v="Manual"/>
    <s v="1.5L"/>
    <s v="Hatchback"/>
    <n v="5"/>
    <s v="Blue"/>
    <s v="Euro 6"/>
    <n v="0.67648901276252593"/>
  </r>
  <r>
    <n v="91"/>
    <x v="58"/>
    <n v="2021"/>
    <n v="20108"/>
    <x v="0"/>
    <s v="Manual"/>
    <s v="1.0L"/>
    <s v="Hatchback"/>
    <n v="5"/>
    <s v="Black "/>
    <s v="Euro 6"/>
    <n v="0.67812642202742368"/>
  </r>
  <r>
    <n v="41"/>
    <x v="59"/>
    <n v="2007"/>
    <n v="72000"/>
    <x v="0"/>
    <s v="Manual"/>
    <s v="1.4L"/>
    <s v="Hatchback"/>
    <n v="3"/>
    <s v="Red"/>
    <s v="Euro 4"/>
    <n v="0.69808162645653316"/>
  </r>
  <r>
    <n v="27"/>
    <x v="19"/>
    <n v="2009"/>
    <n v="10700"/>
    <x v="2"/>
    <s v="Manual"/>
    <s v="1.4L"/>
    <s v="Hatchback"/>
    <n v="5"/>
    <s v="Pink"/>
    <s v="Euro 5"/>
    <n v="0.69832528505895219"/>
  </r>
  <r>
    <n v="82"/>
    <x v="60"/>
    <n v="2022"/>
    <n v="46180"/>
    <x v="0"/>
    <s v="Manual"/>
    <s v="1.1L"/>
    <s v="Hatchback"/>
    <n v="5"/>
    <s v="Red"/>
    <s v="Euro 6"/>
    <n v="0.76045625947033912"/>
  </r>
  <r>
    <n v="43"/>
    <x v="17"/>
    <n v="2018"/>
    <n v="73461"/>
    <x v="0"/>
    <s v="Manual"/>
    <s v="1.0L"/>
    <s v="Hatchback"/>
    <n v="3"/>
    <s v="Red"/>
    <s v="Euro 6"/>
    <n v="0.78143396523639197"/>
  </r>
  <r>
    <n v="38"/>
    <x v="18"/>
    <n v="2018"/>
    <n v="93400"/>
    <x v="0"/>
    <s v="Manual"/>
    <s v="1.0L"/>
    <s v="Hatchback"/>
    <n v="3"/>
    <s v="Sliver"/>
    <s v="Euro 6"/>
    <n v="0.784070445979664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42"/>
    <n v="10899"/>
    <n v="2022"/>
    <n v="42573"/>
    <x v="0"/>
    <x v="0"/>
    <s v="1.0L"/>
    <s v="Hatchback"/>
    <n v="5"/>
    <s v="Black"/>
    <s v="Euro 6"/>
    <n v="1.1552081573701245E-2"/>
    <n v="2"/>
    <n v="1"/>
  </r>
  <r>
    <n v="73"/>
    <n v="1965"/>
    <n v="2011"/>
    <n v="96000"/>
    <x v="0"/>
    <x v="0"/>
    <s v="1.3L"/>
    <s v="Hatchback"/>
    <n v="5"/>
    <s v="Black"/>
    <s v="Euro 5"/>
    <n v="1.4177722061521014E-2"/>
    <n v="13"/>
    <n v="1.3"/>
  </r>
  <r>
    <n v="20"/>
    <n v="2385"/>
    <n v="2010"/>
    <n v="82380"/>
    <x v="0"/>
    <x v="0"/>
    <s v="1.3L"/>
    <s v="Hatchback"/>
    <n v="5"/>
    <s v="Blue"/>
    <s v="Euro 4 "/>
    <n v="1.9928586162592077E-2"/>
    <n v="14"/>
    <n v="1.3"/>
  </r>
  <r>
    <n v="70"/>
    <n v="3500"/>
    <n v="2010"/>
    <n v="124627"/>
    <x v="0"/>
    <x v="1"/>
    <s v="1.4L"/>
    <s v="Hatchback"/>
    <n v="5"/>
    <s v="Grey"/>
    <s v="Euro 4"/>
    <n v="5.3244275431412857E-2"/>
    <n v="14"/>
    <n v="1.4"/>
  </r>
  <r>
    <n v="53"/>
    <n v="9952"/>
    <n v="2017"/>
    <n v="33800"/>
    <x v="0"/>
    <x v="1"/>
    <s v="1.0L"/>
    <s v="Hatchback"/>
    <n v="5"/>
    <s v="Black"/>
    <s v="Euro 6"/>
    <n v="6.0039178754221378E-2"/>
    <n v="7"/>
    <n v="1"/>
  </r>
  <r>
    <n v="36"/>
    <n v="3995"/>
    <n v="2016"/>
    <n v="83900"/>
    <x v="0"/>
    <x v="0"/>
    <s v="1.0L"/>
    <s v="Hatchback"/>
    <n v="5"/>
    <s v="Blue"/>
    <s v="Euro 6"/>
    <n v="6.1383138335915244E-2"/>
    <n v="8"/>
    <n v="1"/>
  </r>
  <r>
    <n v="37"/>
    <n v="595"/>
    <n v="2004"/>
    <n v="109000"/>
    <x v="0"/>
    <x v="0"/>
    <s v="1.4L"/>
    <s v="Hatchback"/>
    <n v="3"/>
    <s v="Sliver"/>
    <s v="Euro 4"/>
    <n v="8.1249633107021935E-2"/>
    <n v="20"/>
    <n v="1.4"/>
  </r>
  <r>
    <n v="76"/>
    <n v="3850"/>
    <n v="2015"/>
    <n v="95025"/>
    <x v="0"/>
    <x v="0"/>
    <s v="1.0L"/>
    <s v="Hatchback"/>
    <n v="3"/>
    <s v="Black"/>
    <s v="Euro 6"/>
    <n v="0.11425483651912482"/>
    <n v="9"/>
    <n v="1"/>
  </r>
  <r>
    <n v="19"/>
    <n v="1590"/>
    <n v="2011"/>
    <n v="112000"/>
    <x v="0"/>
    <x v="0"/>
    <s v="1.3L"/>
    <s v="Hatchback"/>
    <n v="3"/>
    <s v="White"/>
    <s v="Euro 5"/>
    <n v="0.11783121624151693"/>
    <n v="13"/>
    <n v="1.3"/>
  </r>
  <r>
    <n v="9"/>
    <n v="12699"/>
    <n v="2022"/>
    <n v="17995"/>
    <x v="1"/>
    <x v="1"/>
    <s v="1.0L"/>
    <s v="Hatchback"/>
    <n v="5"/>
    <s v="Blue"/>
    <s v="Euro 6"/>
    <n v="0.11943184572401799"/>
    <n v="2"/>
    <n v="1"/>
  </r>
  <r>
    <n v="83"/>
    <n v="6790"/>
    <n v="2016"/>
    <n v="32494"/>
    <x v="0"/>
    <x v="0"/>
    <s v="1.3L"/>
    <s v="Hatchback"/>
    <n v="3"/>
    <s v="Brown"/>
    <s v="Euro 6"/>
    <n v="0.12782311383362632"/>
    <n v="8"/>
    <n v="1.3"/>
  </r>
  <r>
    <n v="25"/>
    <n v="850"/>
    <n v="2008"/>
    <n v="101214"/>
    <x v="0"/>
    <x v="0"/>
    <s v="1.4L"/>
    <s v="Hatchback"/>
    <n v="5"/>
    <s v="Sliver"/>
    <s v="Euro 4 "/>
    <n v="0.14312956086985162"/>
    <n v="16"/>
    <n v="1.4"/>
  </r>
  <r>
    <n v="28"/>
    <n v="3250"/>
    <n v="2013"/>
    <n v="73850"/>
    <x v="0"/>
    <x v="0"/>
    <s v="1.0L"/>
    <s v="Hatchback"/>
    <n v="5"/>
    <s v="Grey"/>
    <s v="Euro 5"/>
    <n v="0.14957810587943388"/>
    <n v="11"/>
    <n v="1"/>
  </r>
  <r>
    <n v="57"/>
    <n v="6490"/>
    <n v="2020"/>
    <n v="38600"/>
    <x v="0"/>
    <x v="0"/>
    <s v="1.0L"/>
    <s v="Hatchback"/>
    <n v="5"/>
    <s v="Black"/>
    <s v="Euro 6 "/>
    <n v="0.15088538515329519"/>
    <n v="4"/>
    <n v="1"/>
  </r>
  <r>
    <n v="65"/>
    <n v="2350"/>
    <n v="2015"/>
    <n v="106800"/>
    <x v="0"/>
    <x v="0"/>
    <s v="1.3L"/>
    <s v="Hatchback"/>
    <n v="3"/>
    <s v="Red"/>
    <s v="Euro 5"/>
    <n v="0.15524455363862721"/>
    <n v="9"/>
    <n v="1.3"/>
  </r>
  <r>
    <n v="15"/>
    <n v="850"/>
    <n v="2008"/>
    <n v="101214"/>
    <x v="0"/>
    <x v="0"/>
    <s v="1.4L"/>
    <s v="Hatchback"/>
    <n v="5"/>
    <s v="Sliver"/>
    <s v="Euro 4 "/>
    <n v="0.15668438927829809"/>
    <n v="16"/>
    <n v="1.4"/>
  </r>
  <r>
    <n v="49"/>
    <n v="2499"/>
    <n v="2011"/>
    <n v="100150"/>
    <x v="0"/>
    <x v="0"/>
    <s v="1.6L"/>
    <s v="Hatchback"/>
    <n v="3"/>
    <s v="White"/>
    <s v="Euro 5"/>
    <n v="0.18677047273517522"/>
    <n v="13"/>
    <n v="1.6"/>
  </r>
  <r>
    <n v="88"/>
    <n v="8139"/>
    <n v="2016"/>
    <n v="26187"/>
    <x v="0"/>
    <x v="0"/>
    <s v="1.3L"/>
    <s v="Hatchback"/>
    <n v="5"/>
    <s v="Red"/>
    <s v="Euro 6"/>
    <n v="0.18843431430780011"/>
    <n v="8"/>
    <n v="1.3"/>
  </r>
  <r>
    <n v="71"/>
    <n v="4995"/>
    <n v="2018"/>
    <n v="73461"/>
    <x v="0"/>
    <x v="0"/>
    <s v="1.0L"/>
    <s v="Hatchback"/>
    <n v="3"/>
    <s v="Red"/>
    <s v="Euro 6"/>
    <n v="0.19096078633486657"/>
    <n v="6"/>
    <n v="1"/>
  </r>
  <r>
    <n v="67"/>
    <n v="4350"/>
    <n v="2018"/>
    <n v="93400"/>
    <x v="0"/>
    <x v="0"/>
    <s v="1.0L"/>
    <s v="Hatchback"/>
    <n v="3"/>
    <s v="Sliver"/>
    <s v="Euro 6"/>
    <n v="0.19618393459286743"/>
    <n v="6"/>
    <n v="1"/>
  </r>
  <r>
    <n v="97"/>
    <n v="10899"/>
    <n v="2022"/>
    <n v="42573"/>
    <x v="0"/>
    <x v="0"/>
    <s v="1.0L"/>
    <s v="Hatchback"/>
    <n v="5"/>
    <s v="Black"/>
    <s v="Euro 6"/>
    <n v="0.19920046403553493"/>
    <n v="2"/>
    <n v="1"/>
  </r>
  <r>
    <n v="17"/>
    <n v="1689"/>
    <n v="2009"/>
    <n v="107000"/>
    <x v="2"/>
    <x v="0"/>
    <s v="1.4L"/>
    <s v="Hatchback"/>
    <n v="5"/>
    <s v="Pink"/>
    <s v="Euro 4 "/>
    <n v="0.19965918671304694"/>
    <n v="15"/>
    <n v="1.4"/>
  </r>
  <r>
    <n v="10"/>
    <n v="12490"/>
    <n v="2023"/>
    <n v="37800"/>
    <x v="1"/>
    <x v="1"/>
    <s v="1.0L"/>
    <s v="Hatchback"/>
    <n v="5"/>
    <s v="Red"/>
    <s v="Euro 6"/>
    <n v="0.20247997370838555"/>
    <n v="1"/>
    <n v="1"/>
  </r>
  <r>
    <n v="61"/>
    <n v="9750"/>
    <n v="2010"/>
    <n v="57000"/>
    <x v="0"/>
    <x v="0"/>
    <s v="1.0L"/>
    <s v="Hatchback"/>
    <n v="5"/>
    <s v="White"/>
    <s v="Euro 6"/>
    <n v="0.21161017533008131"/>
    <n v="14"/>
    <n v="1"/>
  </r>
  <r>
    <n v="47"/>
    <n v="4350"/>
    <n v="2018"/>
    <n v="93400"/>
    <x v="0"/>
    <x v="0"/>
    <s v="1.0L"/>
    <s v="Hatchback"/>
    <n v="3"/>
    <s v="Grey"/>
    <s v="Euro 6"/>
    <n v="0.21875197619916653"/>
    <n v="6"/>
    <n v="1"/>
  </r>
  <r>
    <n v="12"/>
    <n v="12499"/>
    <n v="2023"/>
    <n v="9930"/>
    <x v="1"/>
    <x v="1"/>
    <s v="1.0L"/>
    <s v="Hatchback"/>
    <n v="5"/>
    <s v="Grey"/>
    <s v="Euro 6"/>
    <n v="0.22416071908651647"/>
    <n v="1"/>
    <n v="1"/>
  </r>
  <r>
    <n v="66"/>
    <n v="4500"/>
    <n v="2011"/>
    <n v="61000"/>
    <x v="0"/>
    <x v="0"/>
    <s v="1.6L"/>
    <s v="Hatchback"/>
    <n v="3"/>
    <s v="White"/>
    <s v="Euro5"/>
    <n v="0.23544781069473797"/>
    <n v="13"/>
    <n v="1.6"/>
  </r>
  <r>
    <n v="26"/>
    <n v="2500"/>
    <n v="2010"/>
    <n v="102500"/>
    <x v="0"/>
    <x v="0"/>
    <s v="1.4L"/>
    <s v="Hatchback"/>
    <n v="3"/>
    <s v="Red"/>
    <s v="Euro 5"/>
    <n v="0.24994170517528813"/>
    <n v="14"/>
    <n v="1.4"/>
  </r>
  <r>
    <n v="16"/>
    <n v="2500"/>
    <n v="2010"/>
    <n v="102500"/>
    <x v="0"/>
    <x v="1"/>
    <s v="1.4L"/>
    <s v="Hatchback"/>
    <n v="3"/>
    <s v="Red"/>
    <s v="Euro 5"/>
    <n v="0.25511887653928011"/>
    <n v="14"/>
    <n v="1.4"/>
  </r>
  <r>
    <n v="63"/>
    <n v="3080"/>
    <n v="2011"/>
    <n v="76546"/>
    <x v="0"/>
    <x v="0"/>
    <s v="1.3L"/>
    <s v="Hatchback"/>
    <n v="5"/>
    <s v="Red"/>
    <s v="Euro 5"/>
    <n v="0.2554037055260594"/>
    <n v="13"/>
    <n v="1.3"/>
  </r>
  <r>
    <n v="52"/>
    <n v="9129"/>
    <n v="2017"/>
    <n v="28395"/>
    <x v="0"/>
    <x v="0"/>
    <s v="1.0L"/>
    <s v="Hatchback"/>
    <n v="5"/>
    <s v="Gery"/>
    <s v="Euro 6"/>
    <n v="0.26639843218776527"/>
    <n v="7"/>
    <n v="1"/>
  </r>
  <r>
    <n v="92"/>
    <n v="12180"/>
    <n v="2020"/>
    <n v="20990"/>
    <x v="0"/>
    <x v="0"/>
    <s v="1.0L"/>
    <s v="Hatchback"/>
    <n v="5"/>
    <s v="White"/>
    <s v="Euro 6"/>
    <n v="0.27206197660604148"/>
    <n v="4"/>
    <n v="1"/>
  </r>
  <r>
    <n v="58"/>
    <n v="8995"/>
    <n v="2018"/>
    <n v="37598"/>
    <x v="0"/>
    <x v="0"/>
    <s v="1.0L"/>
    <s v="Hatchback"/>
    <n v="3"/>
    <s v="Red"/>
    <s v="Euro 6"/>
    <n v="0.27682025864917226"/>
    <n v="6"/>
    <n v="1"/>
  </r>
  <r>
    <n v="21"/>
    <n v="5000"/>
    <n v="2016"/>
    <n v="73000"/>
    <x v="0"/>
    <x v="0"/>
    <s v="1.0L"/>
    <s v="Hatchback"/>
    <n v="3"/>
    <s v="Grey"/>
    <s v="Euro 6"/>
    <n v="0.27714119017624317"/>
    <n v="8"/>
    <n v="1"/>
  </r>
  <r>
    <n v="99"/>
    <n v="12889"/>
    <n v="2021"/>
    <n v="23080"/>
    <x v="0"/>
    <x v="0"/>
    <s v="1.0L"/>
    <s v="Hatchback"/>
    <n v="5"/>
    <s v="Black"/>
    <s v="Euro 6"/>
    <n v="0.29271267139522983"/>
    <n v="3"/>
    <n v="1"/>
  </r>
  <r>
    <n v="62"/>
    <n v="4000"/>
    <n v="2013"/>
    <n v="78970"/>
    <x v="0"/>
    <x v="0"/>
    <s v="1.3L"/>
    <s v="Hatchback"/>
    <n v="3"/>
    <s v="Grey"/>
    <s v="Euro 5"/>
    <n v="0.30767273132686856"/>
    <n v="11"/>
    <n v="1.3"/>
  </r>
  <r>
    <n v="45"/>
    <n v="3790"/>
    <n v="2016"/>
    <n v="69000"/>
    <x v="0"/>
    <x v="0"/>
    <s v="1.0L"/>
    <s v="Hatchback"/>
    <n v="5"/>
    <s v="Black"/>
    <s v="Euro 6"/>
    <n v="0.31290135830326637"/>
    <n v="8"/>
    <n v="1"/>
  </r>
  <r>
    <n v="7"/>
    <n v="1895"/>
    <n v="2009"/>
    <n v="68000"/>
    <x v="0"/>
    <x v="0"/>
    <s v="1.3L"/>
    <s v="Hatchback"/>
    <n v="5"/>
    <s v="Blue"/>
    <s v="Euro 5"/>
    <n v="0.31357904174358464"/>
    <n v="15"/>
    <n v="1.3"/>
  </r>
  <r>
    <n v="30"/>
    <n v="2385"/>
    <n v="2010"/>
    <n v="82380"/>
    <x v="0"/>
    <x v="0"/>
    <s v="1.3L"/>
    <s v="Hatchback"/>
    <n v="5"/>
    <s v="Blue"/>
    <s v="Euro 4 "/>
    <n v="0.31712395962887774"/>
    <n v="14"/>
    <n v="1.3"/>
  </r>
  <r>
    <n v="90"/>
    <n v="2500"/>
    <n v="2015"/>
    <n v="114000"/>
    <x v="0"/>
    <x v="0"/>
    <s v="1.0L"/>
    <s v="Hatchback"/>
    <n v="3"/>
    <s v="Grey"/>
    <s v="Euro 6"/>
    <n v="0.32368799968092044"/>
    <n v="9"/>
    <n v="1"/>
  </r>
  <r>
    <n v="80"/>
    <n v="3000"/>
    <n v="2012"/>
    <n v="78000"/>
    <x v="0"/>
    <x v="0"/>
    <s v="1.3L"/>
    <s v="Hatchback"/>
    <n v="5"/>
    <s v="Sliver"/>
    <s v="Euro 6"/>
    <n v="0.35434214831923994"/>
    <n v="12"/>
    <n v="1.3"/>
  </r>
  <r>
    <n v="4"/>
    <n v="1495"/>
    <n v="2015"/>
    <n v="114000"/>
    <x v="0"/>
    <x v="0"/>
    <s v="1.0L"/>
    <s v="Hatchback"/>
    <n v="3"/>
    <s v="Grey"/>
    <s v="Euro 6"/>
    <n v="0.37608998426680362"/>
    <n v="9"/>
    <n v="1"/>
  </r>
  <r>
    <n v="32"/>
    <n v="11267"/>
    <n v="2020"/>
    <n v="26067"/>
    <x v="0"/>
    <x v="0"/>
    <s v="1.0L"/>
    <s v="Hatchback"/>
    <n v="5"/>
    <s v="Red"/>
    <s v="Euro 6"/>
    <n v="0.38585099593919825"/>
    <n v="4"/>
    <n v="1"/>
  </r>
  <r>
    <n v="8"/>
    <n v="4695"/>
    <n v="2014"/>
    <n v="54907"/>
    <x v="0"/>
    <x v="0"/>
    <s v="1.0L"/>
    <s v="Hatchback"/>
    <n v="3"/>
    <s v="Black"/>
    <s v="Euro 5"/>
    <n v="0.39195494564010935"/>
    <n v="10"/>
    <n v="1"/>
  </r>
  <r>
    <n v="2"/>
    <n v="1199"/>
    <n v="2006"/>
    <n v="70444"/>
    <x v="0"/>
    <x v="0"/>
    <s v="1.3L"/>
    <s v="Hatchback"/>
    <n v="5"/>
    <s v="Blue"/>
    <s v="Euro 4 "/>
    <n v="0.40659407446395912"/>
    <n v="18"/>
    <n v="1.3"/>
  </r>
  <r>
    <n v="89"/>
    <n v="12699"/>
    <n v="2022"/>
    <n v="17995"/>
    <x v="1"/>
    <x v="1"/>
    <s v="1.0L"/>
    <s v="Hatchback"/>
    <n v="5"/>
    <s v="Blue"/>
    <s v="Euro 6"/>
    <n v="0.41288998677175937"/>
    <n v="2"/>
    <n v="1"/>
  </r>
  <r>
    <n v="69"/>
    <n v="3790"/>
    <n v="2016"/>
    <n v="69000"/>
    <x v="0"/>
    <x v="0"/>
    <s v="1.0L"/>
    <s v="Hatchback"/>
    <n v="5"/>
    <s v="Black"/>
    <s v="Euro 6"/>
    <n v="0.42055626199925877"/>
    <n v="8"/>
    <n v="1"/>
  </r>
  <r>
    <n v="13"/>
    <n v="16949"/>
    <n v="2023"/>
    <n v="9102"/>
    <x v="1"/>
    <x v="1"/>
    <s v="1.0L"/>
    <s v="Hatchback"/>
    <n v="5"/>
    <s v="Blue"/>
    <s v="Euro 6 "/>
    <n v="0.44120617399431916"/>
    <n v="1"/>
    <n v="1"/>
  </r>
  <r>
    <n v="48"/>
    <n v="4500"/>
    <n v="2011"/>
    <n v="61000"/>
    <x v="0"/>
    <x v="0"/>
    <s v="1.6L"/>
    <s v="Hatchback"/>
    <n v="3"/>
    <s v="White"/>
    <s v="Euro 5"/>
    <n v="0.44153426362412274"/>
    <n v="13"/>
    <n v="1.6"/>
  </r>
  <r>
    <n v="78"/>
    <n v="595"/>
    <n v="2004"/>
    <n v="10900"/>
    <x v="0"/>
    <x v="0"/>
    <s v="1.4L"/>
    <s v="Hatchback"/>
    <n v="3"/>
    <s v="Sliver"/>
    <s v="Euro 4"/>
    <n v="0.44372632517606259"/>
    <n v="20"/>
    <n v="1.4"/>
  </r>
  <r>
    <n v="75"/>
    <n v="7700"/>
    <n v="2019"/>
    <n v="57000"/>
    <x v="0"/>
    <x v="0"/>
    <s v="1.0L"/>
    <s v="Hatchback"/>
    <n v="5"/>
    <s v="Sliver"/>
    <s v="Euro 6"/>
    <n v="0.44854076012616606"/>
    <n v="5"/>
    <n v="1"/>
  </r>
  <r>
    <n v="96"/>
    <n v="2250"/>
    <n v="2009"/>
    <n v="52000"/>
    <x v="0"/>
    <x v="0"/>
    <s v="1.3L"/>
    <s v="Hatchback"/>
    <n v="3"/>
    <s v="Green"/>
    <s v="Euro 4"/>
    <n v="0.45780554303966958"/>
    <n v="15"/>
    <n v="1.3"/>
  </r>
  <r>
    <n v="23"/>
    <n v="1599"/>
    <n v="2012"/>
    <n v="65113"/>
    <x v="0"/>
    <x v="0"/>
    <s v="1.3L"/>
    <s v="Hatchback"/>
    <n v="5"/>
    <s v="Black"/>
    <s v="Euro 5"/>
    <n v="0.46121070032681299"/>
    <n v="12"/>
    <n v="1.3"/>
  </r>
  <r>
    <n v="85"/>
    <n v="14330"/>
    <n v="2023"/>
    <n v="26697"/>
    <x v="0"/>
    <x v="0"/>
    <s v="1.0L"/>
    <s v="Hatchback"/>
    <n v="5"/>
    <s v="White"/>
    <s v="Euro  6"/>
    <n v="0.46296552782842748"/>
    <n v="1"/>
    <n v="1"/>
  </r>
  <r>
    <n v="59"/>
    <n v="3995"/>
    <n v="2015"/>
    <n v="95000"/>
    <x v="2"/>
    <x v="0"/>
    <s v="1.5L"/>
    <s v="Hatchback"/>
    <n v="5"/>
    <s v="White"/>
    <s v="Euro 6 "/>
    <n v="0.46913565838407023"/>
    <n v="9"/>
    <n v="1.5"/>
  </r>
  <r>
    <n v="18"/>
    <n v="3250"/>
    <n v="2013"/>
    <n v="73850"/>
    <x v="0"/>
    <x v="0"/>
    <s v="1.0L"/>
    <s v="Hatchback"/>
    <n v="5"/>
    <s v="Grey"/>
    <s v="Euro 5"/>
    <n v="0.47762418590650124"/>
    <n v="11"/>
    <n v="1"/>
  </r>
  <r>
    <n v="98"/>
    <n v="11643"/>
    <n v="2021"/>
    <n v="42100"/>
    <x v="0"/>
    <x v="0"/>
    <s v="1.0L"/>
    <s v="Hatchback"/>
    <n v="5"/>
    <s v="White"/>
    <s v="Euro 6"/>
    <n v="0.49060292324001864"/>
    <n v="3"/>
    <n v="1"/>
  </r>
  <r>
    <n v="22"/>
    <n v="11844"/>
    <n v="2022"/>
    <n v="14099"/>
    <x v="0"/>
    <x v="0"/>
    <s v="1.1L"/>
    <s v="Hatchback"/>
    <n v="5"/>
    <s v="Red"/>
    <s v="Euro 6"/>
    <n v="0.50688572186943914"/>
    <n v="2"/>
    <n v="1.1000000000000001"/>
  </r>
  <r>
    <n v="64"/>
    <n v="14205"/>
    <n v="2022"/>
    <n v="11410"/>
    <x v="1"/>
    <x v="0"/>
    <s v="1.0L"/>
    <s v="Hatchback"/>
    <n v="5"/>
    <s v="Black"/>
    <s v="Euro 6"/>
    <n v="0.52190022526808533"/>
    <n v="2"/>
    <n v="1"/>
  </r>
  <r>
    <n v="1"/>
    <n v="999"/>
    <n v="2012"/>
    <n v="98000"/>
    <x v="0"/>
    <x v="0"/>
    <s v="1.3L"/>
    <s v="Hatchback"/>
    <n v="5"/>
    <s v="Sliver"/>
    <s v="Euro 5"/>
    <n v="0.5247729603542336"/>
    <n v="12"/>
    <n v="1.3"/>
  </r>
  <r>
    <n v="34"/>
    <n v="2495"/>
    <n v="2014"/>
    <n v="91000"/>
    <x v="0"/>
    <x v="0"/>
    <s v="1.0L"/>
    <s v="Hatchback"/>
    <n v="3"/>
    <s v="White"/>
    <s v="Euro 5"/>
    <n v="0.52663006353813735"/>
    <n v="10"/>
    <n v="1"/>
  </r>
  <r>
    <n v="56"/>
    <n v="3521"/>
    <n v="2015"/>
    <n v="80000"/>
    <x v="0"/>
    <x v="0"/>
    <s v="1.0L"/>
    <s v="Hatchback"/>
    <n v="3"/>
    <s v="Red"/>
    <s v="Euro 6"/>
    <n v="0.54409881085810885"/>
    <n v="9"/>
    <n v="1"/>
  </r>
  <r>
    <n v="6"/>
    <n v="1650"/>
    <n v="2009"/>
    <n v="86900"/>
    <x v="0"/>
    <x v="0"/>
    <s v="1.4L"/>
    <s v="Hatchback"/>
    <n v="5"/>
    <s v="Blue"/>
    <s v="Euro 4 "/>
    <n v="0.54432184058724031"/>
    <n v="15"/>
    <n v="1.4"/>
  </r>
  <r>
    <n v="94"/>
    <n v="10430"/>
    <n v="2018"/>
    <n v="30365"/>
    <x v="0"/>
    <x v="0"/>
    <s v="1.0L"/>
    <s v="Hatchback"/>
    <n v="5"/>
    <s v="White"/>
    <s v="Euro 6"/>
    <n v="0.55953696281675702"/>
    <n v="6"/>
    <n v="1"/>
  </r>
  <r>
    <n v="84"/>
    <n v="5495"/>
    <n v="2015"/>
    <n v="105000"/>
    <x v="0"/>
    <x v="0"/>
    <s v="1.6L"/>
    <s v="Hatchback"/>
    <n v="3"/>
    <s v="White"/>
    <s v="Euro 6"/>
    <n v="0.60695300027170451"/>
    <n v="9"/>
    <n v="1.6"/>
  </r>
  <r>
    <n v="39"/>
    <n v="3999"/>
    <n v="2015"/>
    <n v="84800"/>
    <x v="0"/>
    <x v="0"/>
    <s v="1.0L"/>
    <s v="Hatchback"/>
    <n v="5"/>
    <s v="Grey"/>
    <s v="Euro 6"/>
    <n v="0.61472825898773253"/>
    <n v="9"/>
    <n v="1"/>
  </r>
  <r>
    <n v="74"/>
    <n v="3995"/>
    <n v="2016"/>
    <n v="83900"/>
    <x v="0"/>
    <x v="0"/>
    <s v="1.0L"/>
    <s v="Hatchback"/>
    <n v="5"/>
    <s v="Blue"/>
    <s v="Euro 4"/>
    <n v="0.62324736341765585"/>
    <n v="8"/>
    <n v="1"/>
  </r>
  <r>
    <n v="81"/>
    <n v="3850"/>
    <n v="2012"/>
    <n v="56678"/>
    <x v="0"/>
    <x v="0"/>
    <s v="1.3L"/>
    <s v="Hatchback"/>
    <n v="5"/>
    <s v="Red"/>
    <s v="Euro 5"/>
    <n v="0.63398365292714709"/>
    <n v="12"/>
    <n v="1.3"/>
  </r>
  <r>
    <n v="35"/>
    <n v="2495"/>
    <n v="2015"/>
    <n v="117000"/>
    <x v="0"/>
    <x v="0"/>
    <s v="1.0L"/>
    <s v="Hatchback"/>
    <n v="3"/>
    <s v="White"/>
    <s v="Euro 6"/>
    <n v="0.6450546229737617"/>
    <n v="9"/>
    <n v="1"/>
  </r>
  <r>
    <n v="86"/>
    <n v="13629"/>
    <n v="2022"/>
    <n v="18714"/>
    <x v="0"/>
    <x v="0"/>
    <s v="1.0L"/>
    <s v="Hatchback"/>
    <n v="5"/>
    <s v="Grey"/>
    <s v="Euro 6"/>
    <n v="0.6521784420701876"/>
    <n v="2"/>
    <n v="1"/>
  </r>
  <r>
    <n v="100"/>
    <n v="12099"/>
    <n v="2021"/>
    <n v="19147"/>
    <x v="0"/>
    <x v="0"/>
    <s v="1.0L"/>
    <s v="Hatchback"/>
    <n v="5"/>
    <s v="Blue"/>
    <s v="Euro 6"/>
    <n v="0.65338871520871411"/>
    <n v="3"/>
    <n v="1"/>
  </r>
  <r>
    <n v="93"/>
    <n v="18990"/>
    <n v="2023"/>
    <n v="14531"/>
    <x v="0"/>
    <x v="0"/>
    <s v="1.5L"/>
    <s v="Hatchback"/>
    <n v="5"/>
    <s v="Black"/>
    <s v="Euro 6"/>
    <n v="0.65759922842992469"/>
    <n v="1"/>
    <n v="1.5"/>
  </r>
  <r>
    <n v="44"/>
    <n v="3500"/>
    <n v="2010"/>
    <n v="124627"/>
    <x v="0"/>
    <x v="0"/>
    <s v="1.4L"/>
    <s v="Hatchback"/>
    <n v="5"/>
    <s v="Black"/>
    <s v="Euro 4"/>
    <n v="0.66118224737885956"/>
    <n v="14"/>
    <n v="1.4"/>
  </r>
  <r>
    <n v="54"/>
    <n v="6099"/>
    <n v="2019"/>
    <n v="103000"/>
    <x v="2"/>
    <x v="0"/>
    <s v="1.5L"/>
    <s v="Hatchback"/>
    <n v="5"/>
    <s v="Blue"/>
    <s v="Euro 6"/>
    <n v="0.67648901276252593"/>
    <n v="5"/>
    <n v="1.5"/>
  </r>
  <r>
    <n v="91"/>
    <n v="10750"/>
    <n v="2021"/>
    <n v="20108"/>
    <x v="0"/>
    <x v="0"/>
    <s v="1.0L"/>
    <s v="Hatchback"/>
    <n v="5"/>
    <s v="Black "/>
    <s v="Euro 6"/>
    <n v="0.67812642202742368"/>
    <n v="3"/>
    <n v="1"/>
  </r>
  <r>
    <n v="41"/>
    <n v="1000"/>
    <n v="2007"/>
    <n v="72000"/>
    <x v="0"/>
    <x v="0"/>
    <s v="1.4L"/>
    <s v="Hatchback"/>
    <n v="3"/>
    <s v="Red"/>
    <s v="Euro 4"/>
    <n v="0.69808162645653316"/>
    <n v="17"/>
    <n v="1.4"/>
  </r>
  <r>
    <n v="27"/>
    <n v="1689"/>
    <n v="2009"/>
    <n v="10700"/>
    <x v="2"/>
    <x v="0"/>
    <s v="1.4L"/>
    <s v="Hatchback"/>
    <n v="5"/>
    <s v="Pink"/>
    <s v="Euro 5"/>
    <n v="0.69832528505895219"/>
    <n v="15"/>
    <n v="1.4"/>
  </r>
  <r>
    <n v="82"/>
    <n v="10000"/>
    <n v="2022"/>
    <n v="46180"/>
    <x v="0"/>
    <x v="0"/>
    <s v="1.1L"/>
    <s v="Hatchback"/>
    <n v="5"/>
    <s v="Red"/>
    <s v="Euro 6"/>
    <n v="0.76045625947033912"/>
    <n v="2"/>
    <n v="1.1000000000000001"/>
  </r>
  <r>
    <n v="43"/>
    <n v="4995"/>
    <n v="2018"/>
    <n v="73461"/>
    <x v="0"/>
    <x v="0"/>
    <s v="1.0L"/>
    <s v="Hatchback"/>
    <n v="3"/>
    <s v="Red"/>
    <s v="Euro 6"/>
    <n v="0.78143396523639197"/>
    <n v="6"/>
    <n v="1"/>
  </r>
  <r>
    <n v="38"/>
    <n v="4350"/>
    <n v="2018"/>
    <n v="93400"/>
    <x v="0"/>
    <x v="0"/>
    <s v="1.0L"/>
    <s v="Hatchback"/>
    <n v="3"/>
    <s v="Sliver"/>
    <s v="Euro 6"/>
    <n v="0.78407044597966447"/>
    <n v="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C2DFF-AE83-4060-A6A3-5F00913D9EDD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9:X30" firstHeaderRow="1" firstDataRow="1" firstDataCol="1"/>
  <pivotFields count="12">
    <pivotField showAll="0"/>
    <pivotField axis="axisRow" dataField="1"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ICE" fld="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E4D65-4B67-429A-B2D1-0953436A80E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7:U21" firstHeaderRow="1" firstDataRow="1" firstDataCol="1"/>
  <pivotFields count="13"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E4956-208E-48BE-A88F-5F8EBF9395C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56:AG60" firstHeaderRow="0" firstDataRow="1" firstDataCol="1"/>
  <pivotFields count="14">
    <pivotField showAll="0"/>
    <pivotField dataField="1" numFmtId="165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RICE" fld="1" subtotal="count" baseField="4" baseItem="0"/>
    <dataField name="Average of PRICE" fld="1" subtotal="average" baseField="4" baseItem="0" numFmtId="165"/>
    <dataField name="StdDev of PRICE" fld="1" subtotal="stdDev" baseField="4" baseItem="0" numFmtId="165"/>
    <dataField name="Min of PRICE" fld="1" subtotal="min" baseField="4" baseItem="0" numFmtId="165"/>
    <dataField name="Max of PRICE" fld="1" subtotal="max" baseField="4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BA9C5-F278-499C-8821-655F5CDC623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52:Z55" firstHeaderRow="0" firstDataRow="1" firstDataCol="1"/>
  <pivotFields count="14">
    <pivotField showAll="0"/>
    <pivotField dataField="1" numFmtId="165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RICE" fld="1" subtotal="count" baseField="5" baseItem="0"/>
    <dataField name="Average of PRICE" fld="1" subtotal="average" baseField="5" baseItem="0" numFmtId="165"/>
    <dataField name="StdDev of PRICE" fld="1" subtotal="stdDev" baseField="5" baseItem="0" numFmtId="165"/>
    <dataField name="Min of PRICE3" fld="1" subtotal="min" baseField="5" baseItem="0" numFmtId="165"/>
    <dataField name="Min of PRICE" fld="1" subtotal="min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F9CFE-30E7-460F-8A18-BAD39CC36FEC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T8" firstHeaderRow="1" firstDataRow="1" firstDataCol="1"/>
  <pivotFields count="12">
    <pivotField showAll="0"/>
    <pivotField dataField="1" numFmtId="165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C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805C6-47B6-41CF-A9E9-CE7C481EFFDA}" name="Table1" displayName="Table1" ref="A1:Q101" totalsRowShown="0">
  <autoFilter ref="A1:Q101" xr:uid="{3B4805C6-47B6-41CF-A9E9-CE7C481EFFDA}"/>
  <sortState xmlns:xlrd2="http://schemas.microsoft.com/office/spreadsheetml/2017/richdata2" ref="A2:L101">
    <sortCondition ref="L2:L101"/>
  </sortState>
  <tableColumns count="17">
    <tableColumn id="1" xr3:uid="{24466864-ECB2-4615-8AF3-7B2CD2269192}" name="ID "/>
    <tableColumn id="2" xr3:uid="{59F70259-029C-4710-918A-9E078714A080}" name="PRICE" dataDxfId="28"/>
    <tableColumn id="3" xr3:uid="{1EB76DB6-BD2B-47ED-ABF0-99C339F7AE96}" name="YEAR"/>
    <tableColumn id="4" xr3:uid="{1B94C5A4-42F4-4605-AB6C-763BB8C99014}" name="MILEAGE" dataDxfId="27"/>
    <tableColumn id="5" xr3:uid="{21E953D2-5137-4F96-B5AF-621E4BB4B2D8}" name="FULE TYPE "/>
    <tableColumn id="6" xr3:uid="{6C442B0C-20D4-4DAB-BC8A-DAD10A734233}" name="TRANSMISSION"/>
    <tableColumn id="7" xr3:uid="{B370857F-6BA9-435E-86F0-49E768F1D12C}" name="ENGINE SIZE"/>
    <tableColumn id="8" xr3:uid="{653F9A8D-5857-4523-8436-91425CD23CAE}" name="BODY  TYPE " dataDxfId="26"/>
    <tableColumn id="9" xr3:uid="{00E1AC7F-6791-4890-83F2-4DD65C85C5DF}" name="DOOR "/>
    <tableColumn id="10" xr3:uid="{73D7C96B-5123-48E6-9453-B0C4B2AF4EE4}" name="COLOUR"/>
    <tableColumn id="11" xr3:uid="{4511C950-C20B-4A3D-A51C-9BFF073391E5}" name="EMMISION CLASS"/>
    <tableColumn id="12" xr3:uid="{1D3AA45D-3630-4963-9CB5-FBAA20F89189}" name="random" dataDxfId="25"/>
    <tableColumn id="13" xr3:uid="{19AFB3AF-70C3-4096-961A-CE86603FA2AD}" name="Column1" dataDxfId="24">
      <calculatedColumnFormula>VALUE(SUBSTITUTE(B2,"£",""))</calculatedColumnFormula>
    </tableColumn>
    <tableColumn id="14" xr3:uid="{CDEDCEEF-9BDE-47D5-B8BF-461B8F696052}" name="liter"/>
    <tableColumn id="15" xr3:uid="{050F3EE3-F9CE-4987-8B28-F5C24C544EC4}" name="petrol" dataDxfId="23">
      <calculatedColumnFormula>IF(E2="Petrol",1,0)</calculatedColumnFormula>
    </tableColumn>
    <tableColumn id="16" xr3:uid="{1D1CF70D-EA96-47BB-B578-76166F7EC28A}" name="diesel" dataDxfId="22">
      <calculatedColumnFormula>IF(E2="Diesel",1,0)</calculatedColumnFormula>
    </tableColumn>
    <tableColumn id="17" xr3:uid="{51068C6A-D821-43D2-9B15-82E23C27EB98}" name="manual " dataDxfId="21">
      <calculatedColumnFormula>IF(F2="Manual",1,0)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38A79C-1B06-45C2-9496-A4049C1CAAC7}" name="Table5" displayName="Table5" ref="R1:R101" totalsRowShown="0">
  <autoFilter ref="R1:R101" xr:uid="{3D38A79C-1B06-45C2-9496-A4049C1CAAC7}"/>
  <tableColumns count="1">
    <tableColumn id="1" xr3:uid="{D4AD303B-9ECB-42F6-AB34-6A8C10C81C8A}" name="age">
      <calculatedColumnFormula>2024 - Table1[[#This Row],[YEAR]]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F4E38-396B-44AE-AC15-BC20AE21CD9F}" name="Table2" displayName="Table2" ref="A1:M81" totalsRowShown="0" headerRowDxfId="20" tableBorderDxfId="19">
  <autoFilter ref="A1:M81" xr:uid="{F26F4E38-396B-44AE-AC15-BC20AE21CD9F}"/>
  <sortState xmlns:xlrd2="http://schemas.microsoft.com/office/spreadsheetml/2017/richdata2" ref="A2:M81">
    <sortCondition ref="J52:J81"/>
  </sortState>
  <tableColumns count="13">
    <tableColumn id="1" xr3:uid="{CE92CBD8-D7FF-48D3-A46A-1930B29CC1DE}" name="ID " dataDxfId="18"/>
    <tableColumn id="2" xr3:uid="{AF3FD5DF-5483-4177-8A3C-F2EE1B685578}" name="PRICE" dataDxfId="17"/>
    <tableColumn id="3" xr3:uid="{6BA30596-2BE7-4F36-8DC6-8F5A8A6DE83A}" name="YEAR" dataDxfId="16"/>
    <tableColumn id="4" xr3:uid="{F476CB63-93C0-40D5-B500-2C6EDAA98216}" name="MILEAGE" dataDxfId="15"/>
    <tableColumn id="5" xr3:uid="{D36967DA-82E3-4EB0-9674-F9C5E54C6E18}" name="FULE TYPE"/>
    <tableColumn id="6" xr3:uid="{8815C991-5670-43AD-9A93-03492A29D6E4}" name="TRANSMISSION" dataDxfId="14"/>
    <tableColumn id="7" xr3:uid="{195BBB3C-30D5-455D-88B8-28B94D2EF508}" name="ENGINE SIZE" dataDxfId="13"/>
    <tableColumn id="8" xr3:uid="{4F666770-2A2E-45DD-B730-D4693416BEA9}" name="BODY  TYPE " dataDxfId="12"/>
    <tableColumn id="9" xr3:uid="{0685DA47-0854-4AD4-804D-8FEBAAFAB1AE}" name="DOOR " dataDxfId="11"/>
    <tableColumn id="10" xr3:uid="{CA73CEF2-3F65-4091-B5F4-8CB2C093ABBD}" name="COLOUR" dataDxfId="10"/>
    <tableColumn id="11" xr3:uid="{BE62C775-7F1D-495C-BFC6-5742FE954F8E}" name="EMMISION CLASS" dataDxfId="9"/>
    <tableColumn id="12" xr3:uid="{485D8AE4-3763-4A13-A934-0B457A68D189}" name="random" dataDxfId="8"/>
    <tableColumn id="13" xr3:uid="{E2191596-964D-4F00-9960-2685BC620F64}" name="age" dataDxfId="7">
      <calculatedColumnFormula>2024 - Table2[[#This Row],[YEAR]]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BF30D5-E25F-4AD1-9A24-1DB7FE77FB15}" name="Table4" displayName="Table4" ref="AA16:AB30" totalsRowCount="1">
  <autoFilter ref="AA16:AB29" xr:uid="{BBBF30D5-E25F-4AD1-9A24-1DB7FE77FB15}"/>
  <tableColumns count="2">
    <tableColumn id="1" xr3:uid="{F0692EA6-BC98-4697-9EDB-3ABBB33A6D0B}" name="Column1"/>
    <tableColumn id="2" xr3:uid="{6223BBB9-46DB-459A-9584-C6C8680A739F}" name="Column2" totalsRowFunction="custom" dataDxfId="6" totalsRowDxfId="5">
      <calculatedColumnFormula>COUNTIFS($B$2:$B$101,"&gt;=0",$B$2:$B$101,"&lt;=1000")</calculatedColumnFormula>
      <totalsRowFormula>SUM(Table4[Column2])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AE348E-1B26-4971-86B4-59AEE850A1BE}" name="Table3" displayName="Table3" ref="AC63:AG71" totalsRowShown="0">
  <autoFilter ref="AC63:AG71" xr:uid="{8AAE348E-1B26-4971-86B4-59AEE850A1BE}"/>
  <tableColumns count="5">
    <tableColumn id="1" xr3:uid="{0D811EC7-82B7-4E7B-B515-255B77D8A756}" name="Column1" dataDxfId="4"/>
    <tableColumn id="2" xr3:uid="{FBAB7DFD-36B1-435F-8C9A-81657B3415D0}" name="PRICE " dataDxfId="3"/>
    <tableColumn id="3" xr3:uid="{32CF98BC-E9D6-4B32-BE42-97EAAD4067AE}" name="MILEAGE " dataDxfId="2"/>
    <tableColumn id="4" xr3:uid="{A194990D-5F97-4992-BF9E-EE711497D1D9}" name="YEAR" dataDxfId="1"/>
    <tableColumn id="5" xr3:uid="{C9EF6EEE-F26A-456F-B988-6DCBDC89D538}" name="LI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9702-7541-4817-BA2D-C9C38D858B66}">
  <dimension ref="A1:CZ101"/>
  <sheetViews>
    <sheetView tabSelected="1" topLeftCell="A28" zoomScale="54" zoomScaleNormal="85" workbookViewId="0">
      <selection activeCell="AC84" sqref="AC84"/>
    </sheetView>
  </sheetViews>
  <sheetFormatPr defaultRowHeight="14.4" x14ac:dyDescent="0.3"/>
  <cols>
    <col min="1" max="1" width="5.109375" customWidth="1"/>
    <col min="2" max="2" width="8.109375" customWidth="1"/>
    <col min="4" max="4" width="10.44140625" customWidth="1"/>
    <col min="5" max="5" width="12.109375" customWidth="1"/>
    <col min="6" max="6" width="16.33203125" customWidth="1"/>
    <col min="7" max="7" width="13.5546875" customWidth="1"/>
    <col min="8" max="8" width="13.21875" customWidth="1"/>
    <col min="9" max="9" width="8.6640625" customWidth="1"/>
    <col min="10" max="10" width="10.44140625" customWidth="1"/>
    <col min="11" max="11" width="18.21875" customWidth="1"/>
    <col min="20" max="20" width="17.21875" bestFit="1" customWidth="1"/>
    <col min="21" max="21" width="13" bestFit="1" customWidth="1"/>
    <col min="22" max="22" width="13.6640625" bestFit="1" customWidth="1"/>
    <col min="23" max="23" width="17.21875" bestFit="1" customWidth="1"/>
    <col min="24" max="24" width="21.88671875" bestFit="1" customWidth="1"/>
    <col min="25" max="26" width="13" bestFit="1" customWidth="1"/>
    <col min="27" max="27" width="12.44140625" bestFit="1" customWidth="1"/>
    <col min="28" max="28" width="13" customWidth="1"/>
    <col min="29" max="29" width="13" bestFit="1" customWidth="1"/>
    <col min="30" max="30" width="13" customWidth="1"/>
    <col min="31" max="31" width="13" bestFit="1" customWidth="1"/>
  </cols>
  <sheetData>
    <row r="1" spans="1:67" x14ac:dyDescent="0.3">
      <c r="A1" t="s">
        <v>0</v>
      </c>
      <c r="B1" s="5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17</v>
      </c>
      <c r="L1" t="s">
        <v>47</v>
      </c>
      <c r="M1" t="s">
        <v>46</v>
      </c>
      <c r="N1" s="26" t="s">
        <v>97</v>
      </c>
      <c r="O1" t="s">
        <v>103</v>
      </c>
      <c r="P1" t="s">
        <v>104</v>
      </c>
      <c r="Q1" t="s">
        <v>105</v>
      </c>
      <c r="R1" t="s">
        <v>73</v>
      </c>
    </row>
    <row r="2" spans="1:67" ht="15.6" thickBot="1" x14ac:dyDescent="0.4">
      <c r="A2">
        <v>42</v>
      </c>
      <c r="B2" s="5">
        <v>10899</v>
      </c>
      <c r="C2">
        <v>2022</v>
      </c>
      <c r="D2">
        <v>42573</v>
      </c>
      <c r="E2" s="7" t="s">
        <v>9</v>
      </c>
      <c r="F2" t="s">
        <v>8</v>
      </c>
      <c r="G2" t="s">
        <v>19</v>
      </c>
      <c r="H2" s="1" t="s">
        <v>10</v>
      </c>
      <c r="I2">
        <v>5</v>
      </c>
      <c r="J2" t="s">
        <v>22</v>
      </c>
      <c r="K2" t="s">
        <v>21</v>
      </c>
      <c r="L2">
        <v>1.1552081573701245E-2</v>
      </c>
      <c r="M2" s="11">
        <f t="shared" ref="M2:M33" si="0">VALUE(SUBSTITUTE(B2,"£",""))</f>
        <v>10899</v>
      </c>
      <c r="N2">
        <v>1</v>
      </c>
      <c r="O2">
        <f t="shared" ref="O2:O33" si="1">IF(E2="Petrol",1,0)</f>
        <v>1</v>
      </c>
      <c r="P2">
        <f t="shared" ref="P2:P33" si="2">IF(E2="Diesel",1,0)</f>
        <v>0</v>
      </c>
      <c r="Q2">
        <f t="shared" ref="Q2:Q33" si="3">IF(F2="Manual",1,0)</f>
        <v>1</v>
      </c>
      <c r="R2">
        <f>2024 - Table1[[#This Row],[YEAR]]</f>
        <v>2</v>
      </c>
    </row>
    <row r="3" spans="1:67" ht="15" x14ac:dyDescent="0.35">
      <c r="A3">
        <v>73</v>
      </c>
      <c r="B3" s="5">
        <v>1965</v>
      </c>
      <c r="C3">
        <v>2011</v>
      </c>
      <c r="D3">
        <v>96000</v>
      </c>
      <c r="E3" t="s">
        <v>9</v>
      </c>
      <c r="F3" t="s">
        <v>8</v>
      </c>
      <c r="G3" t="s">
        <v>11</v>
      </c>
      <c r="H3" s="1" t="s">
        <v>10</v>
      </c>
      <c r="I3">
        <v>5</v>
      </c>
      <c r="J3" t="s">
        <v>22</v>
      </c>
      <c r="K3" t="s">
        <v>24</v>
      </c>
      <c r="L3">
        <v>1.4177722061521014E-2</v>
      </c>
      <c r="M3">
        <f t="shared" si="0"/>
        <v>1965</v>
      </c>
      <c r="N3">
        <v>1.3</v>
      </c>
      <c r="O3">
        <f t="shared" si="1"/>
        <v>1</v>
      </c>
      <c r="P3">
        <f t="shared" si="2"/>
        <v>0</v>
      </c>
      <c r="Q3">
        <f t="shared" si="3"/>
        <v>1</v>
      </c>
      <c r="R3">
        <f>2024 - Table1[[#This Row],[YEAR]]</f>
        <v>13</v>
      </c>
    </row>
    <row r="4" spans="1:67" ht="15" x14ac:dyDescent="0.35">
      <c r="A4">
        <v>20</v>
      </c>
      <c r="B4" s="5">
        <v>2385</v>
      </c>
      <c r="C4">
        <v>2010</v>
      </c>
      <c r="D4">
        <v>82380</v>
      </c>
      <c r="E4" t="s">
        <v>9</v>
      </c>
      <c r="F4" t="s">
        <v>8</v>
      </c>
      <c r="G4" t="s">
        <v>11</v>
      </c>
      <c r="H4" s="1" t="s">
        <v>10</v>
      </c>
      <c r="I4">
        <v>5</v>
      </c>
      <c r="J4" t="s">
        <v>15</v>
      </c>
      <c r="K4" t="s">
        <v>18</v>
      </c>
      <c r="L4">
        <v>1.9928586162592077E-2</v>
      </c>
      <c r="M4">
        <f t="shared" si="0"/>
        <v>2385</v>
      </c>
      <c r="N4">
        <v>1.3</v>
      </c>
      <c r="O4">
        <f t="shared" si="1"/>
        <v>1</v>
      </c>
      <c r="P4">
        <f t="shared" si="2"/>
        <v>0</v>
      </c>
      <c r="Q4">
        <f t="shared" si="3"/>
        <v>1</v>
      </c>
      <c r="R4">
        <f>2024 - Table1[[#This Row],[YEAR]]</f>
        <v>14</v>
      </c>
    </row>
    <row r="5" spans="1:67" ht="15" x14ac:dyDescent="0.35">
      <c r="A5">
        <v>70</v>
      </c>
      <c r="B5" s="5">
        <v>3500</v>
      </c>
      <c r="C5">
        <v>2010</v>
      </c>
      <c r="D5">
        <v>124627</v>
      </c>
      <c r="E5" t="s">
        <v>9</v>
      </c>
      <c r="F5" t="s">
        <v>28</v>
      </c>
      <c r="G5" t="s">
        <v>23</v>
      </c>
      <c r="H5" s="1" t="s">
        <v>10</v>
      </c>
      <c r="I5">
        <v>5</v>
      </c>
      <c r="J5" t="s">
        <v>20</v>
      </c>
      <c r="K5" t="s">
        <v>36</v>
      </c>
      <c r="L5">
        <v>5.3244275431412857E-2</v>
      </c>
      <c r="M5">
        <f t="shared" si="0"/>
        <v>3500</v>
      </c>
      <c r="N5">
        <v>1.4</v>
      </c>
      <c r="O5">
        <f t="shared" si="1"/>
        <v>1</v>
      </c>
      <c r="P5">
        <f t="shared" si="2"/>
        <v>0</v>
      </c>
      <c r="Q5">
        <f t="shared" si="3"/>
        <v>0</v>
      </c>
      <c r="R5">
        <f>2024 - Table1[[#This Row],[YEAR]]</f>
        <v>14</v>
      </c>
    </row>
    <row r="6" spans="1:67" ht="15.6" thickBot="1" x14ac:dyDescent="0.4">
      <c r="A6">
        <v>53</v>
      </c>
      <c r="B6" s="5">
        <v>9952</v>
      </c>
      <c r="C6">
        <v>2017</v>
      </c>
      <c r="D6">
        <v>33800</v>
      </c>
      <c r="E6" t="s">
        <v>9</v>
      </c>
      <c r="F6" t="s">
        <v>28</v>
      </c>
      <c r="G6" t="s">
        <v>19</v>
      </c>
      <c r="H6" s="1" t="s">
        <v>10</v>
      </c>
      <c r="I6">
        <v>5</v>
      </c>
      <c r="J6" t="s">
        <v>22</v>
      </c>
      <c r="K6" t="s">
        <v>21</v>
      </c>
      <c r="L6">
        <v>6.0039178754221378E-2</v>
      </c>
      <c r="M6">
        <f t="shared" si="0"/>
        <v>9952</v>
      </c>
      <c r="N6">
        <v>1</v>
      </c>
      <c r="O6">
        <f t="shared" si="1"/>
        <v>1</v>
      </c>
      <c r="P6">
        <f t="shared" si="2"/>
        <v>0</v>
      </c>
      <c r="Q6">
        <f t="shared" si="3"/>
        <v>0</v>
      </c>
      <c r="R6">
        <f>2024 - Table1[[#This Row],[YEAR]]</f>
        <v>7</v>
      </c>
    </row>
    <row r="7" spans="1:67" ht="15" x14ac:dyDescent="0.35">
      <c r="A7">
        <v>36</v>
      </c>
      <c r="B7" s="5">
        <v>3995</v>
      </c>
      <c r="C7">
        <v>2016</v>
      </c>
      <c r="D7">
        <v>83900</v>
      </c>
      <c r="E7" t="s">
        <v>9</v>
      </c>
      <c r="F7" t="s">
        <v>8</v>
      </c>
      <c r="G7" t="s">
        <v>19</v>
      </c>
      <c r="H7" s="1" t="s">
        <v>10</v>
      </c>
      <c r="I7">
        <v>5</v>
      </c>
      <c r="J7" t="s">
        <v>15</v>
      </c>
      <c r="K7" t="s">
        <v>21</v>
      </c>
      <c r="L7">
        <v>6.1383138335915244E-2</v>
      </c>
      <c r="M7">
        <f t="shared" si="0"/>
        <v>3995</v>
      </c>
      <c r="N7">
        <v>1</v>
      </c>
      <c r="O7">
        <f t="shared" si="1"/>
        <v>1</v>
      </c>
      <c r="P7">
        <f t="shared" si="2"/>
        <v>0</v>
      </c>
      <c r="Q7">
        <f t="shared" si="3"/>
        <v>1</v>
      </c>
      <c r="R7">
        <f>2024 - Table1[[#This Row],[YEAR]]</f>
        <v>8</v>
      </c>
      <c r="BK7" s="33"/>
    </row>
    <row r="8" spans="1:67" ht="15" x14ac:dyDescent="0.35">
      <c r="A8">
        <v>37</v>
      </c>
      <c r="B8" s="5">
        <v>595</v>
      </c>
      <c r="C8">
        <v>2004</v>
      </c>
      <c r="D8">
        <v>109000</v>
      </c>
      <c r="E8" t="s">
        <v>9</v>
      </c>
      <c r="F8" t="s">
        <v>8</v>
      </c>
      <c r="G8" t="s">
        <v>23</v>
      </c>
      <c r="H8" s="1" t="s">
        <v>10</v>
      </c>
      <c r="I8">
        <v>3</v>
      </c>
      <c r="J8" t="s">
        <v>13</v>
      </c>
      <c r="K8" t="s">
        <v>36</v>
      </c>
      <c r="L8">
        <v>8.1249633107021935E-2</v>
      </c>
      <c r="M8">
        <f t="shared" si="0"/>
        <v>595</v>
      </c>
      <c r="N8">
        <v>1.4</v>
      </c>
      <c r="O8">
        <f t="shared" si="1"/>
        <v>1</v>
      </c>
      <c r="P8">
        <f t="shared" si="2"/>
        <v>0</v>
      </c>
      <c r="Q8">
        <f t="shared" si="3"/>
        <v>1</v>
      </c>
      <c r="R8">
        <f>2024 - Table1[[#This Row],[YEAR]]</f>
        <v>20</v>
      </c>
    </row>
    <row r="9" spans="1:67" ht="15" x14ac:dyDescent="0.35">
      <c r="A9">
        <v>76</v>
      </c>
      <c r="B9" s="5">
        <v>3850</v>
      </c>
      <c r="C9">
        <v>2015</v>
      </c>
      <c r="D9">
        <v>95025</v>
      </c>
      <c r="E9" t="s">
        <v>9</v>
      </c>
      <c r="F9" t="s">
        <v>8</v>
      </c>
      <c r="G9" t="s">
        <v>19</v>
      </c>
      <c r="H9" s="1" t="s">
        <v>10</v>
      </c>
      <c r="I9">
        <v>3</v>
      </c>
      <c r="J9" t="s">
        <v>22</v>
      </c>
      <c r="K9" t="s">
        <v>21</v>
      </c>
      <c r="L9">
        <v>0.11425483651912482</v>
      </c>
      <c r="M9">
        <f t="shared" si="0"/>
        <v>3850</v>
      </c>
      <c r="N9">
        <v>1</v>
      </c>
      <c r="O9">
        <f t="shared" si="1"/>
        <v>1</v>
      </c>
      <c r="P9">
        <f t="shared" si="2"/>
        <v>0</v>
      </c>
      <c r="Q9">
        <f t="shared" si="3"/>
        <v>1</v>
      </c>
      <c r="R9">
        <f>2024 - Table1[[#This Row],[YEAR]]</f>
        <v>9</v>
      </c>
    </row>
    <row r="10" spans="1:67" ht="15" x14ac:dyDescent="0.35">
      <c r="A10">
        <v>19</v>
      </c>
      <c r="B10" s="5">
        <v>1590</v>
      </c>
      <c r="C10">
        <v>2011</v>
      </c>
      <c r="D10">
        <v>112000</v>
      </c>
      <c r="E10" t="s">
        <v>9</v>
      </c>
      <c r="F10" t="s">
        <v>8</v>
      </c>
      <c r="G10" t="s">
        <v>11</v>
      </c>
      <c r="H10" s="1" t="s">
        <v>10</v>
      </c>
      <c r="I10">
        <v>3</v>
      </c>
      <c r="J10" t="s">
        <v>32</v>
      </c>
      <c r="K10" t="s">
        <v>24</v>
      </c>
      <c r="L10">
        <v>0.11783121624151693</v>
      </c>
      <c r="M10">
        <f t="shared" si="0"/>
        <v>1590</v>
      </c>
      <c r="N10">
        <v>1.3</v>
      </c>
      <c r="O10">
        <f t="shared" si="1"/>
        <v>1</v>
      </c>
      <c r="P10">
        <f t="shared" si="2"/>
        <v>0</v>
      </c>
      <c r="Q10">
        <f t="shared" si="3"/>
        <v>1</v>
      </c>
      <c r="R10">
        <f>2024 - Table1[[#This Row],[YEAR]]</f>
        <v>13</v>
      </c>
    </row>
    <row r="11" spans="1:67" ht="15" x14ac:dyDescent="0.35">
      <c r="A11">
        <v>9</v>
      </c>
      <c r="B11" s="5">
        <v>12699</v>
      </c>
      <c r="C11">
        <v>2022</v>
      </c>
      <c r="D11">
        <v>17995</v>
      </c>
      <c r="E11" t="s">
        <v>27</v>
      </c>
      <c r="F11" t="s">
        <v>28</v>
      </c>
      <c r="G11" t="s">
        <v>19</v>
      </c>
      <c r="H11" s="1" t="s">
        <v>10</v>
      </c>
      <c r="I11">
        <v>5</v>
      </c>
      <c r="J11" t="s">
        <v>15</v>
      </c>
      <c r="K11" t="s">
        <v>21</v>
      </c>
      <c r="L11">
        <v>0.11943184572401799</v>
      </c>
      <c r="M11">
        <f t="shared" si="0"/>
        <v>12699</v>
      </c>
      <c r="N11">
        <v>1</v>
      </c>
      <c r="O11">
        <f t="shared" si="1"/>
        <v>0</v>
      </c>
      <c r="P11">
        <f t="shared" si="2"/>
        <v>0</v>
      </c>
      <c r="Q11">
        <f t="shared" si="3"/>
        <v>0</v>
      </c>
      <c r="R11">
        <f>2024 - Table1[[#This Row],[YEAR]]</f>
        <v>2</v>
      </c>
    </row>
    <row r="12" spans="1:67" ht="15.6" thickBot="1" x14ac:dyDescent="0.4">
      <c r="A12">
        <v>83</v>
      </c>
      <c r="B12" s="5">
        <v>6790</v>
      </c>
      <c r="C12">
        <v>2016</v>
      </c>
      <c r="D12">
        <v>32494</v>
      </c>
      <c r="E12" t="s">
        <v>9</v>
      </c>
      <c r="F12" t="s">
        <v>8</v>
      </c>
      <c r="G12" t="s">
        <v>11</v>
      </c>
      <c r="H12" s="1" t="s">
        <v>10</v>
      </c>
      <c r="I12">
        <v>3</v>
      </c>
      <c r="J12" t="s">
        <v>43</v>
      </c>
      <c r="K12" t="s">
        <v>21</v>
      </c>
      <c r="L12">
        <v>0.12782311383362632</v>
      </c>
      <c r="M12">
        <f t="shared" si="0"/>
        <v>6790</v>
      </c>
      <c r="N12">
        <v>1.3</v>
      </c>
      <c r="O12">
        <f t="shared" si="1"/>
        <v>1</v>
      </c>
      <c r="P12">
        <f t="shared" si="2"/>
        <v>0</v>
      </c>
      <c r="Q12">
        <f t="shared" si="3"/>
        <v>1</v>
      </c>
      <c r="R12">
        <f>2024 - Table1[[#This Row],[YEAR]]</f>
        <v>8</v>
      </c>
      <c r="BJ12" s="31"/>
      <c r="BK12" s="31"/>
    </row>
    <row r="13" spans="1:67" ht="15" x14ac:dyDescent="0.35">
      <c r="A13">
        <v>25</v>
      </c>
      <c r="B13" s="5">
        <v>850</v>
      </c>
      <c r="C13">
        <v>2008</v>
      </c>
      <c r="D13">
        <v>101214</v>
      </c>
      <c r="E13" t="s">
        <v>9</v>
      </c>
      <c r="F13" t="s">
        <v>8</v>
      </c>
      <c r="G13" t="s">
        <v>23</v>
      </c>
      <c r="H13" s="1" t="s">
        <v>10</v>
      </c>
      <c r="I13">
        <v>5</v>
      </c>
      <c r="J13" t="s">
        <v>13</v>
      </c>
      <c r="K13" t="s">
        <v>18</v>
      </c>
      <c r="L13">
        <v>0.14312956086985162</v>
      </c>
      <c r="M13">
        <f t="shared" si="0"/>
        <v>850</v>
      </c>
      <c r="N13">
        <v>1.4</v>
      </c>
      <c r="O13">
        <f t="shared" si="1"/>
        <v>1</v>
      </c>
      <c r="P13">
        <f t="shared" si="2"/>
        <v>0</v>
      </c>
      <c r="Q13">
        <f t="shared" si="3"/>
        <v>1</v>
      </c>
      <c r="R13">
        <f>2024 - Table1[[#This Row],[YEAR]]</f>
        <v>16</v>
      </c>
    </row>
    <row r="14" spans="1:67" ht="15.6" thickBot="1" x14ac:dyDescent="0.4">
      <c r="A14">
        <v>28</v>
      </c>
      <c r="B14" s="5">
        <v>3250</v>
      </c>
      <c r="C14">
        <v>2013</v>
      </c>
      <c r="D14">
        <v>73850</v>
      </c>
      <c r="E14" t="s">
        <v>9</v>
      </c>
      <c r="F14" t="s">
        <v>8</v>
      </c>
      <c r="G14" t="s">
        <v>19</v>
      </c>
      <c r="H14" s="1" t="s">
        <v>10</v>
      </c>
      <c r="I14">
        <v>5</v>
      </c>
      <c r="J14" t="s">
        <v>20</v>
      </c>
      <c r="K14" t="s">
        <v>24</v>
      </c>
      <c r="L14">
        <v>0.14957810587943388</v>
      </c>
      <c r="M14">
        <f t="shared" si="0"/>
        <v>3250</v>
      </c>
      <c r="N14">
        <v>1</v>
      </c>
      <c r="O14">
        <f t="shared" si="1"/>
        <v>1</v>
      </c>
      <c r="P14">
        <f t="shared" si="2"/>
        <v>0</v>
      </c>
      <c r="Q14">
        <f t="shared" si="3"/>
        <v>1</v>
      </c>
      <c r="R14">
        <f>2024 - Table1[[#This Row],[YEAR]]</f>
        <v>11</v>
      </c>
    </row>
    <row r="15" spans="1:67" ht="15" x14ac:dyDescent="0.35">
      <c r="A15">
        <v>57</v>
      </c>
      <c r="B15" s="5">
        <v>6490</v>
      </c>
      <c r="C15">
        <v>2020</v>
      </c>
      <c r="D15">
        <v>38600</v>
      </c>
      <c r="E15" t="s">
        <v>9</v>
      </c>
      <c r="F15" t="s">
        <v>8</v>
      </c>
      <c r="G15" t="s">
        <v>19</v>
      </c>
      <c r="H15" s="1" t="s">
        <v>10</v>
      </c>
      <c r="I15">
        <v>5</v>
      </c>
      <c r="J15" t="s">
        <v>22</v>
      </c>
      <c r="K15" t="s">
        <v>30</v>
      </c>
      <c r="L15">
        <v>0.15088538515329519</v>
      </c>
      <c r="M15">
        <f t="shared" si="0"/>
        <v>6490</v>
      </c>
      <c r="N15">
        <v>1</v>
      </c>
      <c r="O15">
        <f t="shared" si="1"/>
        <v>1</v>
      </c>
      <c r="P15">
        <f t="shared" si="2"/>
        <v>0</v>
      </c>
      <c r="Q15">
        <f t="shared" si="3"/>
        <v>1</v>
      </c>
      <c r="R15">
        <f>2024 - Table1[[#This Row],[YEAR]]</f>
        <v>4</v>
      </c>
      <c r="BJ15" s="32"/>
      <c r="BK15" s="32"/>
      <c r="BL15" s="32"/>
      <c r="BM15" s="32"/>
      <c r="BN15" s="32"/>
      <c r="BO15" s="32"/>
    </row>
    <row r="16" spans="1:67" ht="15" x14ac:dyDescent="0.35">
      <c r="A16">
        <v>65</v>
      </c>
      <c r="B16" s="5">
        <v>2350</v>
      </c>
      <c r="C16">
        <v>2015</v>
      </c>
      <c r="D16">
        <v>106800</v>
      </c>
      <c r="E16" t="s">
        <v>9</v>
      </c>
      <c r="F16" t="s">
        <v>8</v>
      </c>
      <c r="G16" t="s">
        <v>11</v>
      </c>
      <c r="H16" s="1" t="s">
        <v>10</v>
      </c>
      <c r="I16">
        <v>3</v>
      </c>
      <c r="J16" t="s">
        <v>29</v>
      </c>
      <c r="K16" t="s">
        <v>24</v>
      </c>
      <c r="L16">
        <v>0.15524455363862721</v>
      </c>
      <c r="M16">
        <f t="shared" si="0"/>
        <v>2350</v>
      </c>
      <c r="N16">
        <v>1.3</v>
      </c>
      <c r="O16">
        <f t="shared" si="1"/>
        <v>1</v>
      </c>
      <c r="P16">
        <f t="shared" si="2"/>
        <v>0</v>
      </c>
      <c r="Q16">
        <f t="shared" si="3"/>
        <v>1</v>
      </c>
      <c r="R16">
        <f>2024 - Table1[[#This Row],[YEAR]]</f>
        <v>9</v>
      </c>
    </row>
    <row r="17" spans="1:104" ht="15.6" thickBot="1" x14ac:dyDescent="0.4">
      <c r="A17">
        <v>15</v>
      </c>
      <c r="B17" s="5">
        <v>850</v>
      </c>
      <c r="C17">
        <v>2008</v>
      </c>
      <c r="D17">
        <v>101214</v>
      </c>
      <c r="E17" t="s">
        <v>9</v>
      </c>
      <c r="F17" t="s">
        <v>8</v>
      </c>
      <c r="G17" t="s">
        <v>23</v>
      </c>
      <c r="H17" s="1" t="s">
        <v>10</v>
      </c>
      <c r="I17">
        <v>5</v>
      </c>
      <c r="J17" t="s">
        <v>13</v>
      </c>
      <c r="K17" t="s">
        <v>18</v>
      </c>
      <c r="L17">
        <v>0.15668438927829809</v>
      </c>
      <c r="M17">
        <f t="shared" si="0"/>
        <v>850</v>
      </c>
      <c r="N17">
        <v>1.4</v>
      </c>
      <c r="O17">
        <f t="shared" si="1"/>
        <v>1</v>
      </c>
      <c r="P17">
        <f t="shared" si="2"/>
        <v>0</v>
      </c>
      <c r="Q17">
        <f t="shared" si="3"/>
        <v>1</v>
      </c>
      <c r="R17">
        <f>2024 - Table1[[#This Row],[YEAR]]</f>
        <v>16</v>
      </c>
      <c r="CB17" s="31"/>
      <c r="CC17" s="31"/>
      <c r="CD17" s="31"/>
      <c r="CE17" s="31"/>
      <c r="CF17" s="31"/>
      <c r="CG17" s="31"/>
      <c r="CH17" s="31"/>
      <c r="CI17" s="31"/>
    </row>
    <row r="18" spans="1:104" ht="15" x14ac:dyDescent="0.35">
      <c r="A18">
        <v>49</v>
      </c>
      <c r="B18" s="5">
        <v>2499</v>
      </c>
      <c r="C18">
        <v>2011</v>
      </c>
      <c r="D18">
        <v>100150</v>
      </c>
      <c r="E18" t="s">
        <v>38</v>
      </c>
      <c r="F18" t="s">
        <v>8</v>
      </c>
      <c r="G18" t="s">
        <v>37</v>
      </c>
      <c r="H18" s="1" t="s">
        <v>10</v>
      </c>
      <c r="I18">
        <v>3</v>
      </c>
      <c r="J18" t="s">
        <v>32</v>
      </c>
      <c r="K18" t="s">
        <v>24</v>
      </c>
      <c r="L18">
        <v>0.18677047273517522</v>
      </c>
      <c r="M18">
        <f t="shared" si="0"/>
        <v>2499</v>
      </c>
      <c r="N18">
        <v>1.6</v>
      </c>
      <c r="O18">
        <f t="shared" si="1"/>
        <v>0</v>
      </c>
      <c r="P18">
        <f t="shared" si="2"/>
        <v>0</v>
      </c>
      <c r="Q18">
        <f t="shared" si="3"/>
        <v>1</v>
      </c>
      <c r="R18">
        <f>2024 - Table1[[#This Row],[YEAR]]</f>
        <v>13</v>
      </c>
    </row>
    <row r="19" spans="1:104" ht="15" x14ac:dyDescent="0.35">
      <c r="A19">
        <v>88</v>
      </c>
      <c r="B19" s="5">
        <v>8139</v>
      </c>
      <c r="C19">
        <v>2016</v>
      </c>
      <c r="D19">
        <v>26187</v>
      </c>
      <c r="E19" t="s">
        <v>9</v>
      </c>
      <c r="F19" t="s">
        <v>8</v>
      </c>
      <c r="G19" t="s">
        <v>11</v>
      </c>
      <c r="H19" s="1" t="s">
        <v>10</v>
      </c>
      <c r="I19">
        <v>5</v>
      </c>
      <c r="J19" t="s">
        <v>29</v>
      </c>
      <c r="K19" t="s">
        <v>21</v>
      </c>
      <c r="L19">
        <v>0.18843431430780011</v>
      </c>
      <c r="M19">
        <f t="shared" si="0"/>
        <v>8139</v>
      </c>
      <c r="N19">
        <v>1.3</v>
      </c>
      <c r="O19">
        <f t="shared" si="1"/>
        <v>1</v>
      </c>
      <c r="P19">
        <f t="shared" si="2"/>
        <v>0</v>
      </c>
      <c r="Q19">
        <f t="shared" si="3"/>
        <v>1</v>
      </c>
      <c r="R19">
        <f>2024 - Table1[[#This Row],[YEAR]]</f>
        <v>8</v>
      </c>
    </row>
    <row r="20" spans="1:104" ht="15" x14ac:dyDescent="0.35">
      <c r="A20">
        <v>71</v>
      </c>
      <c r="B20" s="5">
        <v>4995</v>
      </c>
      <c r="C20">
        <v>2018</v>
      </c>
      <c r="D20">
        <v>73461</v>
      </c>
      <c r="E20" t="s">
        <v>9</v>
      </c>
      <c r="F20" t="s">
        <v>8</v>
      </c>
      <c r="G20" t="s">
        <v>19</v>
      </c>
      <c r="H20" s="1" t="s">
        <v>10</v>
      </c>
      <c r="I20">
        <v>3</v>
      </c>
      <c r="J20" t="s">
        <v>29</v>
      </c>
      <c r="K20" t="s">
        <v>21</v>
      </c>
      <c r="L20">
        <v>0.19096078633486657</v>
      </c>
      <c r="M20">
        <f t="shared" si="0"/>
        <v>4995</v>
      </c>
      <c r="N20">
        <v>1</v>
      </c>
      <c r="O20">
        <f t="shared" si="1"/>
        <v>1</v>
      </c>
      <c r="P20">
        <f t="shared" si="2"/>
        <v>0</v>
      </c>
      <c r="Q20">
        <f t="shared" si="3"/>
        <v>1</v>
      </c>
      <c r="R20">
        <f>2024 - Table1[[#This Row],[YEAR]]</f>
        <v>6</v>
      </c>
    </row>
    <row r="21" spans="1:104" ht="15" x14ac:dyDescent="0.35">
      <c r="A21">
        <v>67</v>
      </c>
      <c r="B21" s="5">
        <v>4350</v>
      </c>
      <c r="C21">
        <v>2018</v>
      </c>
      <c r="D21">
        <v>93400</v>
      </c>
      <c r="E21" t="s">
        <v>9</v>
      </c>
      <c r="F21" t="s">
        <v>8</v>
      </c>
      <c r="G21" t="s">
        <v>19</v>
      </c>
      <c r="H21" s="1" t="s">
        <v>10</v>
      </c>
      <c r="I21">
        <v>3</v>
      </c>
      <c r="J21" t="s">
        <v>13</v>
      </c>
      <c r="K21" t="s">
        <v>21</v>
      </c>
      <c r="L21">
        <v>0.19618393459286743</v>
      </c>
      <c r="M21">
        <f t="shared" si="0"/>
        <v>4350</v>
      </c>
      <c r="N21">
        <v>1</v>
      </c>
      <c r="O21">
        <f t="shared" si="1"/>
        <v>1</v>
      </c>
      <c r="P21">
        <f t="shared" si="2"/>
        <v>0</v>
      </c>
      <c r="Q21">
        <f t="shared" si="3"/>
        <v>1</v>
      </c>
      <c r="R21">
        <f>2024 - Table1[[#This Row],[YEAR]]</f>
        <v>6</v>
      </c>
    </row>
    <row r="22" spans="1:104" ht="15" x14ac:dyDescent="0.35">
      <c r="A22">
        <v>97</v>
      </c>
      <c r="B22" s="5">
        <v>10899</v>
      </c>
      <c r="C22">
        <v>2022</v>
      </c>
      <c r="D22">
        <v>42573</v>
      </c>
      <c r="E22" t="s">
        <v>9</v>
      </c>
      <c r="F22" t="s">
        <v>8</v>
      </c>
      <c r="G22" t="s">
        <v>19</v>
      </c>
      <c r="H22" s="1" t="s">
        <v>10</v>
      </c>
      <c r="I22">
        <v>5</v>
      </c>
      <c r="J22" t="s">
        <v>22</v>
      </c>
      <c r="K22" t="s">
        <v>21</v>
      </c>
      <c r="L22">
        <v>0.19920046403553493</v>
      </c>
      <c r="M22">
        <f t="shared" si="0"/>
        <v>10899</v>
      </c>
      <c r="N22">
        <v>1</v>
      </c>
      <c r="O22">
        <f t="shared" si="1"/>
        <v>1</v>
      </c>
      <c r="P22">
        <f t="shared" si="2"/>
        <v>0</v>
      </c>
      <c r="Q22">
        <f t="shared" si="3"/>
        <v>1</v>
      </c>
      <c r="R22">
        <f>2024 - Table1[[#This Row],[YEAR]]</f>
        <v>2</v>
      </c>
    </row>
    <row r="23" spans="1:104" ht="15" x14ac:dyDescent="0.35">
      <c r="A23">
        <v>17</v>
      </c>
      <c r="B23" s="5">
        <v>1689</v>
      </c>
      <c r="C23">
        <v>2009</v>
      </c>
      <c r="D23">
        <v>107000</v>
      </c>
      <c r="E23" t="s">
        <v>25</v>
      </c>
      <c r="F23" t="s">
        <v>8</v>
      </c>
      <c r="G23" t="s">
        <v>23</v>
      </c>
      <c r="H23" s="1" t="s">
        <v>10</v>
      </c>
      <c r="I23">
        <v>5</v>
      </c>
      <c r="J23" t="s">
        <v>26</v>
      </c>
      <c r="K23" t="s">
        <v>18</v>
      </c>
      <c r="L23">
        <v>0.19965918671304694</v>
      </c>
      <c r="M23">
        <f t="shared" si="0"/>
        <v>1689</v>
      </c>
      <c r="N23">
        <v>1.4</v>
      </c>
      <c r="O23">
        <f t="shared" si="1"/>
        <v>0</v>
      </c>
      <c r="P23">
        <f t="shared" si="2"/>
        <v>1</v>
      </c>
      <c r="Q23">
        <f t="shared" si="3"/>
        <v>1</v>
      </c>
      <c r="R23">
        <f>2024 - Table1[[#This Row],[YEAR]]</f>
        <v>15</v>
      </c>
    </row>
    <row r="24" spans="1:104" ht="15.6" thickBot="1" x14ac:dyDescent="0.4">
      <c r="A24">
        <v>10</v>
      </c>
      <c r="B24" s="5">
        <v>12490</v>
      </c>
      <c r="C24">
        <v>2023</v>
      </c>
      <c r="D24">
        <v>37800</v>
      </c>
      <c r="E24" t="s">
        <v>27</v>
      </c>
      <c r="F24" t="s">
        <v>28</v>
      </c>
      <c r="G24" t="s">
        <v>19</v>
      </c>
      <c r="H24" s="1" t="s">
        <v>10</v>
      </c>
      <c r="I24">
        <v>5</v>
      </c>
      <c r="J24" t="s">
        <v>29</v>
      </c>
      <c r="K24" t="s">
        <v>21</v>
      </c>
      <c r="L24">
        <v>0.20247997370838555</v>
      </c>
      <c r="M24">
        <f t="shared" si="0"/>
        <v>12490</v>
      </c>
      <c r="N24">
        <v>1</v>
      </c>
      <c r="O24">
        <f t="shared" si="1"/>
        <v>0</v>
      </c>
      <c r="P24">
        <f t="shared" si="2"/>
        <v>0</v>
      </c>
      <c r="Q24">
        <f t="shared" si="3"/>
        <v>0</v>
      </c>
      <c r="R24">
        <f>2024 - Table1[[#This Row],[YEAR]]</f>
        <v>1</v>
      </c>
      <c r="CY24" s="31"/>
      <c r="CZ24" s="31"/>
    </row>
    <row r="25" spans="1:104" ht="15.6" thickBot="1" x14ac:dyDescent="0.4">
      <c r="A25">
        <v>61</v>
      </c>
      <c r="B25" s="5">
        <v>9750</v>
      </c>
      <c r="C25">
        <v>2010</v>
      </c>
      <c r="D25">
        <v>57000</v>
      </c>
      <c r="E25" t="s">
        <v>9</v>
      </c>
      <c r="F25" t="s">
        <v>8</v>
      </c>
      <c r="G25" t="s">
        <v>19</v>
      </c>
      <c r="H25" s="1" t="s">
        <v>10</v>
      </c>
      <c r="I25">
        <v>5</v>
      </c>
      <c r="J25" t="s">
        <v>32</v>
      </c>
      <c r="K25" t="s">
        <v>21</v>
      </c>
      <c r="L25">
        <v>0.21161017533008131</v>
      </c>
      <c r="M25">
        <f t="shared" si="0"/>
        <v>9750</v>
      </c>
      <c r="N25">
        <v>1</v>
      </c>
      <c r="O25">
        <f t="shared" si="1"/>
        <v>1</v>
      </c>
      <c r="P25">
        <f t="shared" si="2"/>
        <v>0</v>
      </c>
      <c r="Q25">
        <f t="shared" si="3"/>
        <v>1</v>
      </c>
      <c r="R25">
        <f>2024 - Table1[[#This Row],[YEAR]]</f>
        <v>14</v>
      </c>
      <c r="BJ25" s="31"/>
    </row>
    <row r="26" spans="1:104" ht="15.6" thickBot="1" x14ac:dyDescent="0.4">
      <c r="A26">
        <v>47</v>
      </c>
      <c r="B26" s="5">
        <v>4350</v>
      </c>
      <c r="C26">
        <v>2018</v>
      </c>
      <c r="D26">
        <v>93400</v>
      </c>
      <c r="E26" t="s">
        <v>9</v>
      </c>
      <c r="F26" t="s">
        <v>8</v>
      </c>
      <c r="G26" t="s">
        <v>19</v>
      </c>
      <c r="H26" s="1" t="s">
        <v>10</v>
      </c>
      <c r="I26">
        <v>3</v>
      </c>
      <c r="J26" t="s">
        <v>20</v>
      </c>
      <c r="K26" t="s">
        <v>21</v>
      </c>
      <c r="L26">
        <v>0.21875197619916653</v>
      </c>
      <c r="M26">
        <f t="shared" si="0"/>
        <v>4350</v>
      </c>
      <c r="N26">
        <v>1</v>
      </c>
      <c r="O26">
        <f t="shared" si="1"/>
        <v>1</v>
      </c>
      <c r="P26">
        <f t="shared" si="2"/>
        <v>0</v>
      </c>
      <c r="Q26">
        <f t="shared" si="3"/>
        <v>1</v>
      </c>
      <c r="R26">
        <f>2024 - Table1[[#This Row],[YEAR]]</f>
        <v>6</v>
      </c>
      <c r="BO26" s="33"/>
    </row>
    <row r="27" spans="1:104" ht="15" x14ac:dyDescent="0.35">
      <c r="A27">
        <v>12</v>
      </c>
      <c r="B27" s="5">
        <v>12499</v>
      </c>
      <c r="C27">
        <v>2023</v>
      </c>
      <c r="D27">
        <v>9930</v>
      </c>
      <c r="E27" t="s">
        <v>27</v>
      </c>
      <c r="F27" t="s">
        <v>28</v>
      </c>
      <c r="G27" t="s">
        <v>19</v>
      </c>
      <c r="H27" s="1" t="s">
        <v>10</v>
      </c>
      <c r="I27">
        <v>5</v>
      </c>
      <c r="J27" t="s">
        <v>20</v>
      </c>
      <c r="K27" t="s">
        <v>21</v>
      </c>
      <c r="L27">
        <v>0.22416071908651647</v>
      </c>
      <c r="M27">
        <f t="shared" si="0"/>
        <v>12499</v>
      </c>
      <c r="N27">
        <v>1</v>
      </c>
      <c r="O27">
        <f t="shared" si="1"/>
        <v>0</v>
      </c>
      <c r="P27">
        <f t="shared" si="2"/>
        <v>0</v>
      </c>
      <c r="Q27">
        <f t="shared" si="3"/>
        <v>0</v>
      </c>
      <c r="R27">
        <f>2024 - Table1[[#This Row],[YEAR]]</f>
        <v>1</v>
      </c>
      <c r="BL27" s="32"/>
      <c r="BM27" s="32"/>
      <c r="BN27" s="32"/>
      <c r="BO27" s="32"/>
      <c r="BP27" s="32"/>
      <c r="BQ27" s="32"/>
      <c r="BR27" s="32"/>
      <c r="BS27" s="32"/>
      <c r="BT27" s="32"/>
    </row>
    <row r="28" spans="1:104" ht="15" x14ac:dyDescent="0.35">
      <c r="A28">
        <v>66</v>
      </c>
      <c r="B28" s="5">
        <v>4500</v>
      </c>
      <c r="C28">
        <v>2011</v>
      </c>
      <c r="D28">
        <v>61000</v>
      </c>
      <c r="E28" t="s">
        <v>9</v>
      </c>
      <c r="F28" t="s">
        <v>8</v>
      </c>
      <c r="G28" t="s">
        <v>37</v>
      </c>
      <c r="H28" s="1" t="s">
        <v>10</v>
      </c>
      <c r="I28">
        <v>3</v>
      </c>
      <c r="J28" t="s">
        <v>32</v>
      </c>
      <c r="K28" t="s">
        <v>41</v>
      </c>
      <c r="L28">
        <v>0.23544781069473797</v>
      </c>
      <c r="M28">
        <f t="shared" si="0"/>
        <v>4500</v>
      </c>
      <c r="N28">
        <v>1.6</v>
      </c>
      <c r="O28">
        <f t="shared" si="1"/>
        <v>1</v>
      </c>
      <c r="P28">
        <f t="shared" si="2"/>
        <v>0</v>
      </c>
      <c r="Q28">
        <f t="shared" si="3"/>
        <v>1</v>
      </c>
      <c r="R28">
        <f>2024 - Table1[[#This Row],[YEAR]]</f>
        <v>13</v>
      </c>
    </row>
    <row r="29" spans="1:104" ht="15" x14ac:dyDescent="0.35">
      <c r="A29">
        <v>26</v>
      </c>
      <c r="B29" s="5">
        <v>2500</v>
      </c>
      <c r="C29">
        <v>2010</v>
      </c>
      <c r="D29">
        <v>102500</v>
      </c>
      <c r="E29" t="s">
        <v>9</v>
      </c>
      <c r="F29" t="s">
        <v>8</v>
      </c>
      <c r="G29" t="s">
        <v>23</v>
      </c>
      <c r="H29" s="1" t="s">
        <v>10</v>
      </c>
      <c r="I29">
        <v>3</v>
      </c>
      <c r="J29" t="s">
        <v>29</v>
      </c>
      <c r="K29" t="s">
        <v>24</v>
      </c>
      <c r="L29">
        <v>0.24994170517528813</v>
      </c>
      <c r="M29">
        <f t="shared" si="0"/>
        <v>2500</v>
      </c>
      <c r="N29">
        <v>1.4</v>
      </c>
      <c r="O29">
        <f t="shared" si="1"/>
        <v>1</v>
      </c>
      <c r="P29">
        <f t="shared" si="2"/>
        <v>0</v>
      </c>
      <c r="Q29">
        <f t="shared" si="3"/>
        <v>1</v>
      </c>
      <c r="R29">
        <f>2024 - Table1[[#This Row],[YEAR]]</f>
        <v>14</v>
      </c>
    </row>
    <row r="30" spans="1:104" ht="15" x14ac:dyDescent="0.35">
      <c r="A30">
        <v>16</v>
      </c>
      <c r="B30" s="5">
        <v>2500</v>
      </c>
      <c r="C30">
        <v>2010</v>
      </c>
      <c r="D30">
        <v>102500</v>
      </c>
      <c r="E30" t="s">
        <v>33</v>
      </c>
      <c r="F30" t="s">
        <v>28</v>
      </c>
      <c r="G30" t="s">
        <v>23</v>
      </c>
      <c r="H30" s="1" t="s">
        <v>10</v>
      </c>
      <c r="I30">
        <v>3</v>
      </c>
      <c r="J30" t="s">
        <v>29</v>
      </c>
      <c r="K30" t="s">
        <v>24</v>
      </c>
      <c r="L30">
        <v>0.25511887653928011</v>
      </c>
      <c r="M30">
        <f t="shared" si="0"/>
        <v>2500</v>
      </c>
      <c r="N30">
        <v>1.4</v>
      </c>
      <c r="O30">
        <f t="shared" si="1"/>
        <v>0</v>
      </c>
      <c r="P30">
        <f t="shared" si="2"/>
        <v>0</v>
      </c>
      <c r="Q30">
        <f t="shared" si="3"/>
        <v>0</v>
      </c>
      <c r="R30">
        <f>2024 - Table1[[#This Row],[YEAR]]</f>
        <v>14</v>
      </c>
      <c r="T30" t="s">
        <v>106</v>
      </c>
    </row>
    <row r="31" spans="1:104" ht="15.6" thickBot="1" x14ac:dyDescent="0.4">
      <c r="A31">
        <v>63</v>
      </c>
      <c r="B31" s="5">
        <v>3080</v>
      </c>
      <c r="C31">
        <v>2011</v>
      </c>
      <c r="D31">
        <v>76546</v>
      </c>
      <c r="E31" t="s">
        <v>9</v>
      </c>
      <c r="F31" t="s">
        <v>8</v>
      </c>
      <c r="G31" t="s">
        <v>11</v>
      </c>
      <c r="H31" s="1" t="s">
        <v>10</v>
      </c>
      <c r="I31">
        <v>5</v>
      </c>
      <c r="J31" t="s">
        <v>29</v>
      </c>
      <c r="K31" t="s">
        <v>24</v>
      </c>
      <c r="L31">
        <v>0.2554037055260594</v>
      </c>
      <c r="M31">
        <f t="shared" si="0"/>
        <v>3080</v>
      </c>
      <c r="N31">
        <v>1.3</v>
      </c>
      <c r="O31">
        <f t="shared" si="1"/>
        <v>1</v>
      </c>
      <c r="P31">
        <f t="shared" si="2"/>
        <v>0</v>
      </c>
      <c r="Q31">
        <f t="shared" si="3"/>
        <v>1</v>
      </c>
      <c r="R31">
        <f>2024 - Table1[[#This Row],[YEAR]]</f>
        <v>13</v>
      </c>
      <c r="AD31" s="34" t="s">
        <v>130</v>
      </c>
      <c r="AE31">
        <v>49000</v>
      </c>
    </row>
    <row r="32" spans="1:104" ht="15" x14ac:dyDescent="0.35">
      <c r="A32">
        <v>52</v>
      </c>
      <c r="B32" s="5">
        <v>9129</v>
      </c>
      <c r="C32">
        <v>2017</v>
      </c>
      <c r="D32">
        <v>28395</v>
      </c>
      <c r="E32" t="s">
        <v>9</v>
      </c>
      <c r="F32" t="s">
        <v>8</v>
      </c>
      <c r="G32" t="s">
        <v>19</v>
      </c>
      <c r="H32" s="1" t="s">
        <v>10</v>
      </c>
      <c r="I32">
        <v>5</v>
      </c>
      <c r="J32" t="s">
        <v>39</v>
      </c>
      <c r="K32" t="s">
        <v>21</v>
      </c>
      <c r="L32">
        <v>0.26639843218776527</v>
      </c>
      <c r="M32">
        <f t="shared" si="0"/>
        <v>9129</v>
      </c>
      <c r="N32">
        <v>1</v>
      </c>
      <c r="O32">
        <f t="shared" si="1"/>
        <v>1</v>
      </c>
      <c r="P32">
        <f t="shared" si="2"/>
        <v>0</v>
      </c>
      <c r="Q32">
        <f t="shared" si="3"/>
        <v>1</v>
      </c>
      <c r="R32">
        <f>2024 - Table1[[#This Row],[YEAR]]</f>
        <v>7</v>
      </c>
      <c r="T32" s="33" t="s">
        <v>107</v>
      </c>
      <c r="U32" s="33"/>
      <c r="AD32" s="34" t="s">
        <v>131</v>
      </c>
      <c r="AE32">
        <v>2018</v>
      </c>
    </row>
    <row r="33" spans="1:31" ht="15" x14ac:dyDescent="0.35">
      <c r="A33">
        <v>92</v>
      </c>
      <c r="B33" s="5">
        <v>12180</v>
      </c>
      <c r="C33">
        <v>2020</v>
      </c>
      <c r="D33">
        <v>20990</v>
      </c>
      <c r="E33" t="s">
        <v>9</v>
      </c>
      <c r="F33" t="s">
        <v>8</v>
      </c>
      <c r="G33" t="s">
        <v>19</v>
      </c>
      <c r="H33" s="1" t="s">
        <v>10</v>
      </c>
      <c r="I33">
        <v>5</v>
      </c>
      <c r="J33" t="s">
        <v>32</v>
      </c>
      <c r="K33" t="s">
        <v>21</v>
      </c>
      <c r="L33">
        <v>0.27206197660604148</v>
      </c>
      <c r="M33">
        <f t="shared" si="0"/>
        <v>12180</v>
      </c>
      <c r="N33">
        <v>1</v>
      </c>
      <c r="O33">
        <f t="shared" si="1"/>
        <v>1</v>
      </c>
      <c r="P33">
        <f t="shared" si="2"/>
        <v>0</v>
      </c>
      <c r="Q33">
        <f t="shared" si="3"/>
        <v>1</v>
      </c>
      <c r="R33">
        <f>2024 - Table1[[#This Row],[YEAR]]</f>
        <v>4</v>
      </c>
      <c r="T33" t="s">
        <v>108</v>
      </c>
      <c r="U33">
        <v>0.86534522498497224</v>
      </c>
      <c r="AD33" s="34" t="s">
        <v>132</v>
      </c>
      <c r="AE33">
        <v>1.2</v>
      </c>
    </row>
    <row r="34" spans="1:31" ht="15" x14ac:dyDescent="0.35">
      <c r="A34">
        <v>58</v>
      </c>
      <c r="B34" s="5">
        <v>8995</v>
      </c>
      <c r="C34">
        <v>2018</v>
      </c>
      <c r="D34">
        <v>37598</v>
      </c>
      <c r="E34" t="s">
        <v>9</v>
      </c>
      <c r="F34" t="s">
        <v>8</v>
      </c>
      <c r="G34" t="s">
        <v>19</v>
      </c>
      <c r="H34" s="1" t="s">
        <v>10</v>
      </c>
      <c r="I34">
        <v>3</v>
      </c>
      <c r="J34" t="s">
        <v>29</v>
      </c>
      <c r="K34" t="s">
        <v>21</v>
      </c>
      <c r="L34">
        <v>0.27682025864917226</v>
      </c>
      <c r="M34">
        <f t="shared" ref="M34:M65" si="4">VALUE(SUBSTITUTE(B34,"£",""))</f>
        <v>8995</v>
      </c>
      <c r="N34">
        <v>1</v>
      </c>
      <c r="O34">
        <f t="shared" ref="O34:O65" si="5">IF(E34="Petrol",1,0)</f>
        <v>1</v>
      </c>
      <c r="P34">
        <f t="shared" ref="P34:P65" si="6">IF(E34="Diesel",1,0)</f>
        <v>0</v>
      </c>
      <c r="Q34">
        <f t="shared" ref="Q34:Q65" si="7">IF(F34="Manual",1,0)</f>
        <v>1</v>
      </c>
      <c r="R34">
        <f>2024 - Table1[[#This Row],[YEAR]]</f>
        <v>6</v>
      </c>
      <c r="T34" t="s">
        <v>109</v>
      </c>
      <c r="U34">
        <v>0.74882235840429223</v>
      </c>
      <c r="AD34" s="34" t="s">
        <v>133</v>
      </c>
      <c r="AE34" t="s">
        <v>25</v>
      </c>
    </row>
    <row r="35" spans="1:31" ht="15" x14ac:dyDescent="0.35">
      <c r="A35">
        <v>21</v>
      </c>
      <c r="B35" s="5">
        <v>5000</v>
      </c>
      <c r="C35">
        <v>2016</v>
      </c>
      <c r="D35">
        <v>73000</v>
      </c>
      <c r="E35" t="s">
        <v>9</v>
      </c>
      <c r="F35" t="s">
        <v>8</v>
      </c>
      <c r="G35" t="s">
        <v>19</v>
      </c>
      <c r="H35" s="1" t="s">
        <v>10</v>
      </c>
      <c r="I35">
        <v>3</v>
      </c>
      <c r="J35" t="s">
        <v>20</v>
      </c>
      <c r="K35" t="s">
        <v>21</v>
      </c>
      <c r="L35">
        <v>0.27714119017624317</v>
      </c>
      <c r="M35">
        <f t="shared" si="4"/>
        <v>5000</v>
      </c>
      <c r="N35">
        <v>1</v>
      </c>
      <c r="O35">
        <f t="shared" si="5"/>
        <v>1</v>
      </c>
      <c r="P35">
        <f t="shared" si="6"/>
        <v>0</v>
      </c>
      <c r="Q35">
        <f t="shared" si="7"/>
        <v>1</v>
      </c>
      <c r="R35">
        <f>2024 - Table1[[#This Row],[YEAR]]</f>
        <v>8</v>
      </c>
      <c r="T35" t="s">
        <v>110</v>
      </c>
      <c r="U35">
        <v>0.73546184555345673</v>
      </c>
      <c r="AD35" s="34" t="s">
        <v>134</v>
      </c>
      <c r="AE35" t="s">
        <v>28</v>
      </c>
    </row>
    <row r="36" spans="1:31" ht="15" x14ac:dyDescent="0.35">
      <c r="A36">
        <v>99</v>
      </c>
      <c r="B36" s="5">
        <v>12889</v>
      </c>
      <c r="C36">
        <v>2021</v>
      </c>
      <c r="D36">
        <v>23080</v>
      </c>
      <c r="E36" t="s">
        <v>9</v>
      </c>
      <c r="F36" t="s">
        <v>8</v>
      </c>
      <c r="G36" t="s">
        <v>19</v>
      </c>
      <c r="H36" s="1" t="s">
        <v>10</v>
      </c>
      <c r="I36">
        <v>5</v>
      </c>
      <c r="J36" t="s">
        <v>22</v>
      </c>
      <c r="K36" t="s">
        <v>21</v>
      </c>
      <c r="L36">
        <v>0.29271267139522983</v>
      </c>
      <c r="M36">
        <f t="shared" si="4"/>
        <v>12889</v>
      </c>
      <c r="N36">
        <v>1</v>
      </c>
      <c r="O36">
        <f t="shared" si="5"/>
        <v>1</v>
      </c>
      <c r="P36">
        <f t="shared" si="6"/>
        <v>0</v>
      </c>
      <c r="Q36">
        <f t="shared" si="7"/>
        <v>1</v>
      </c>
      <c r="R36">
        <f>2024 - Table1[[#This Row],[YEAR]]</f>
        <v>3</v>
      </c>
      <c r="T36" t="s">
        <v>111</v>
      </c>
      <c r="U36">
        <v>2473.1909654821175</v>
      </c>
      <c r="AD36" s="34" t="s">
        <v>135</v>
      </c>
      <c r="AE36" s="35">
        <f>16181.9168+(-0.0682718*AE31)+(-990.6108*(2025-AE32))+(3395.6944*AE33)+(2000*IF(AE34="Diesel",1,0))+(3500*IF(AE34="Petrol Hybrid",1,0))+(1738.6528*IF(AE35="Automatic",1,0))</f>
        <v>13715.809080000001</v>
      </c>
    </row>
    <row r="37" spans="1:31" ht="15.6" thickBot="1" x14ac:dyDescent="0.4">
      <c r="A37">
        <v>62</v>
      </c>
      <c r="B37" s="5">
        <v>4000</v>
      </c>
      <c r="C37">
        <v>2013</v>
      </c>
      <c r="D37">
        <v>78970</v>
      </c>
      <c r="E37" t="s">
        <v>9</v>
      </c>
      <c r="F37" t="s">
        <v>8</v>
      </c>
      <c r="G37" t="s">
        <v>11</v>
      </c>
      <c r="H37" s="1" t="s">
        <v>10</v>
      </c>
      <c r="I37">
        <v>3</v>
      </c>
      <c r="J37" t="s">
        <v>20</v>
      </c>
      <c r="K37" t="s">
        <v>24</v>
      </c>
      <c r="L37">
        <v>0.30767273132686856</v>
      </c>
      <c r="M37">
        <f t="shared" si="4"/>
        <v>4000</v>
      </c>
      <c r="N37">
        <v>1.3</v>
      </c>
      <c r="O37">
        <f t="shared" si="5"/>
        <v>1</v>
      </c>
      <c r="P37">
        <f t="shared" si="6"/>
        <v>0</v>
      </c>
      <c r="Q37">
        <f t="shared" si="7"/>
        <v>1</v>
      </c>
      <c r="R37">
        <f>2024 - Table1[[#This Row],[YEAR]]</f>
        <v>11</v>
      </c>
      <c r="T37" s="31" t="s">
        <v>112</v>
      </c>
      <c r="U37" s="31">
        <v>100</v>
      </c>
    </row>
    <row r="38" spans="1:31" ht="15" x14ac:dyDescent="0.35">
      <c r="A38">
        <v>45</v>
      </c>
      <c r="B38" s="5">
        <v>3790</v>
      </c>
      <c r="C38">
        <v>2016</v>
      </c>
      <c r="D38">
        <v>69000</v>
      </c>
      <c r="E38" t="s">
        <v>38</v>
      </c>
      <c r="F38" t="s">
        <v>8</v>
      </c>
      <c r="G38" t="s">
        <v>19</v>
      </c>
      <c r="H38" s="1" t="s">
        <v>10</v>
      </c>
      <c r="I38">
        <v>5</v>
      </c>
      <c r="J38" t="s">
        <v>22</v>
      </c>
      <c r="K38" t="s">
        <v>21</v>
      </c>
      <c r="L38">
        <v>0.31290135830326637</v>
      </c>
      <c r="M38">
        <f t="shared" si="4"/>
        <v>3790</v>
      </c>
      <c r="N38">
        <v>1</v>
      </c>
      <c r="O38">
        <f t="shared" si="5"/>
        <v>0</v>
      </c>
      <c r="P38">
        <f t="shared" si="6"/>
        <v>0</v>
      </c>
      <c r="Q38">
        <f t="shared" si="7"/>
        <v>1</v>
      </c>
      <c r="R38">
        <f>2024 - Table1[[#This Row],[YEAR]]</f>
        <v>8</v>
      </c>
    </row>
    <row r="39" spans="1:31" ht="15.6" thickBot="1" x14ac:dyDescent="0.4">
      <c r="A39">
        <v>7</v>
      </c>
      <c r="B39" s="5">
        <v>1895</v>
      </c>
      <c r="C39">
        <v>2009</v>
      </c>
      <c r="D39">
        <v>68000</v>
      </c>
      <c r="E39" t="s">
        <v>9</v>
      </c>
      <c r="F39" t="s">
        <v>8</v>
      </c>
      <c r="G39" t="s">
        <v>11</v>
      </c>
      <c r="H39" s="1" t="s">
        <v>10</v>
      </c>
      <c r="I39">
        <v>5</v>
      </c>
      <c r="J39" t="s">
        <v>15</v>
      </c>
      <c r="K39" t="s">
        <v>24</v>
      </c>
      <c r="L39">
        <v>0.31357904174358464</v>
      </c>
      <c r="M39">
        <f t="shared" si="4"/>
        <v>1895</v>
      </c>
      <c r="N39">
        <v>1.3</v>
      </c>
      <c r="O39">
        <f t="shared" si="5"/>
        <v>1</v>
      </c>
      <c r="P39">
        <f t="shared" si="6"/>
        <v>0</v>
      </c>
      <c r="Q39">
        <f t="shared" si="7"/>
        <v>1</v>
      </c>
      <c r="R39">
        <f>2024 - Table1[[#This Row],[YEAR]]</f>
        <v>15</v>
      </c>
      <c r="T39" t="s">
        <v>113</v>
      </c>
    </row>
    <row r="40" spans="1:31" ht="15" x14ac:dyDescent="0.35">
      <c r="A40">
        <v>30</v>
      </c>
      <c r="B40" s="5">
        <v>2385</v>
      </c>
      <c r="C40">
        <v>2010</v>
      </c>
      <c r="D40">
        <v>82380</v>
      </c>
      <c r="E40" t="s">
        <v>9</v>
      </c>
      <c r="F40" t="s">
        <v>8</v>
      </c>
      <c r="G40" t="s">
        <v>11</v>
      </c>
      <c r="H40" s="1" t="s">
        <v>10</v>
      </c>
      <c r="I40">
        <v>5</v>
      </c>
      <c r="J40" t="s">
        <v>15</v>
      </c>
      <c r="K40" t="s">
        <v>18</v>
      </c>
      <c r="L40">
        <v>0.31712395962887774</v>
      </c>
      <c r="M40">
        <f t="shared" si="4"/>
        <v>2385</v>
      </c>
      <c r="N40">
        <v>1.3</v>
      </c>
      <c r="O40">
        <f t="shared" si="5"/>
        <v>1</v>
      </c>
      <c r="P40">
        <f t="shared" si="6"/>
        <v>0</v>
      </c>
      <c r="Q40">
        <f t="shared" si="7"/>
        <v>1</v>
      </c>
      <c r="R40">
        <f>2024 - Table1[[#This Row],[YEAR]]</f>
        <v>14</v>
      </c>
      <c r="T40" s="32"/>
      <c r="U40" s="32" t="s">
        <v>118</v>
      </c>
      <c r="V40" s="32" t="s">
        <v>119</v>
      </c>
      <c r="W40" s="32" t="s">
        <v>120</v>
      </c>
      <c r="X40" s="32" t="s">
        <v>121</v>
      </c>
      <c r="Y40" s="32" t="s">
        <v>122</v>
      </c>
    </row>
    <row r="41" spans="1:31" ht="15" x14ac:dyDescent="0.35">
      <c r="A41">
        <v>90</v>
      </c>
      <c r="B41" s="5">
        <v>2500</v>
      </c>
      <c r="C41">
        <v>2015</v>
      </c>
      <c r="D41">
        <v>114000</v>
      </c>
      <c r="E41" t="s">
        <v>9</v>
      </c>
      <c r="F41" t="s">
        <v>8</v>
      </c>
      <c r="G41" t="s">
        <v>19</v>
      </c>
      <c r="H41" s="1" t="s">
        <v>10</v>
      </c>
      <c r="I41">
        <v>3</v>
      </c>
      <c r="J41" t="s">
        <v>20</v>
      </c>
      <c r="K41" t="s">
        <v>21</v>
      </c>
      <c r="L41">
        <v>0.32368799968092044</v>
      </c>
      <c r="M41">
        <f t="shared" si="4"/>
        <v>2500</v>
      </c>
      <c r="N41">
        <v>1</v>
      </c>
      <c r="O41">
        <f t="shared" si="5"/>
        <v>1</v>
      </c>
      <c r="P41">
        <f t="shared" si="6"/>
        <v>0</v>
      </c>
      <c r="Q41">
        <f t="shared" si="7"/>
        <v>1</v>
      </c>
      <c r="R41">
        <f>2024 - Table1[[#This Row],[YEAR]]</f>
        <v>9</v>
      </c>
      <c r="T41" t="s">
        <v>114</v>
      </c>
      <c r="U41">
        <v>5</v>
      </c>
      <c r="V41">
        <v>1714119048.3262177</v>
      </c>
      <c r="W41">
        <v>342823809.66524351</v>
      </c>
      <c r="X41">
        <v>56.047426230158756</v>
      </c>
      <c r="Y41">
        <v>1.0394735049767016E-26</v>
      </c>
    </row>
    <row r="42" spans="1:31" ht="15" x14ac:dyDescent="0.35">
      <c r="A42">
        <v>80</v>
      </c>
      <c r="B42" s="5">
        <v>3000</v>
      </c>
      <c r="C42">
        <v>2012</v>
      </c>
      <c r="D42">
        <v>78000</v>
      </c>
      <c r="E42" t="s">
        <v>9</v>
      </c>
      <c r="F42" t="s">
        <v>8</v>
      </c>
      <c r="G42" t="s">
        <v>11</v>
      </c>
      <c r="H42" s="1" t="s">
        <v>10</v>
      </c>
      <c r="I42">
        <v>5</v>
      </c>
      <c r="J42" t="s">
        <v>13</v>
      </c>
      <c r="K42" t="s">
        <v>21</v>
      </c>
      <c r="L42">
        <v>0.35434214831923994</v>
      </c>
      <c r="M42">
        <f t="shared" si="4"/>
        <v>3000</v>
      </c>
      <c r="N42">
        <v>1.3</v>
      </c>
      <c r="O42">
        <f t="shared" si="5"/>
        <v>1</v>
      </c>
      <c r="P42">
        <f t="shared" si="6"/>
        <v>0</v>
      </c>
      <c r="Q42">
        <f t="shared" si="7"/>
        <v>1</v>
      </c>
      <c r="R42">
        <f>2024 - Table1[[#This Row],[YEAR]]</f>
        <v>12</v>
      </c>
      <c r="T42" t="s">
        <v>115</v>
      </c>
      <c r="U42">
        <v>94</v>
      </c>
      <c r="V42">
        <v>574967313.86378253</v>
      </c>
      <c r="W42">
        <v>6116673.5517423674</v>
      </c>
    </row>
    <row r="43" spans="1:31" ht="15.6" thickBot="1" x14ac:dyDescent="0.4">
      <c r="A43">
        <v>4</v>
      </c>
      <c r="B43" s="5">
        <v>1495</v>
      </c>
      <c r="C43">
        <v>2015</v>
      </c>
      <c r="D43" s="1">
        <v>114000</v>
      </c>
      <c r="E43" t="s">
        <v>9</v>
      </c>
      <c r="F43" t="s">
        <v>8</v>
      </c>
      <c r="G43" t="s">
        <v>19</v>
      </c>
      <c r="H43" s="1" t="s">
        <v>10</v>
      </c>
      <c r="I43">
        <v>3</v>
      </c>
      <c r="J43" t="s">
        <v>20</v>
      </c>
      <c r="K43" t="s">
        <v>21</v>
      </c>
      <c r="L43">
        <v>0.37608998426680362</v>
      </c>
      <c r="M43">
        <f t="shared" si="4"/>
        <v>1495</v>
      </c>
      <c r="N43">
        <v>1</v>
      </c>
      <c r="O43">
        <f t="shared" si="5"/>
        <v>1</v>
      </c>
      <c r="P43">
        <f t="shared" si="6"/>
        <v>0</v>
      </c>
      <c r="Q43">
        <f t="shared" si="7"/>
        <v>1</v>
      </c>
      <c r="R43">
        <f>2024 - Table1[[#This Row],[YEAR]]</f>
        <v>9</v>
      </c>
      <c r="T43" s="31" t="s">
        <v>116</v>
      </c>
      <c r="U43" s="31">
        <v>99</v>
      </c>
      <c r="V43" s="31">
        <v>2289086362.1900001</v>
      </c>
      <c r="W43" s="31"/>
      <c r="X43" s="31"/>
      <c r="Y43" s="31"/>
    </row>
    <row r="44" spans="1:31" ht="15.6" thickBot="1" x14ac:dyDescent="0.4">
      <c r="A44">
        <v>32</v>
      </c>
      <c r="B44" s="5">
        <v>11267</v>
      </c>
      <c r="C44">
        <v>2020</v>
      </c>
      <c r="D44">
        <v>26067</v>
      </c>
      <c r="E44" t="s">
        <v>9</v>
      </c>
      <c r="F44" t="s">
        <v>8</v>
      </c>
      <c r="G44" t="s">
        <v>19</v>
      </c>
      <c r="H44" s="1" t="s">
        <v>10</v>
      </c>
      <c r="I44">
        <v>5</v>
      </c>
      <c r="J44" t="s">
        <v>29</v>
      </c>
      <c r="K44" t="s">
        <v>21</v>
      </c>
      <c r="L44">
        <v>0.38585099593919825</v>
      </c>
      <c r="M44">
        <f t="shared" si="4"/>
        <v>11267</v>
      </c>
      <c r="N44">
        <v>1</v>
      </c>
      <c r="O44">
        <f t="shared" si="5"/>
        <v>1</v>
      </c>
      <c r="P44">
        <f t="shared" si="6"/>
        <v>0</v>
      </c>
      <c r="Q44">
        <f t="shared" si="7"/>
        <v>1</v>
      </c>
      <c r="R44">
        <f>2024 - Table1[[#This Row],[YEAR]]</f>
        <v>4</v>
      </c>
    </row>
    <row r="45" spans="1:31" ht="15" x14ac:dyDescent="0.35">
      <c r="A45">
        <v>8</v>
      </c>
      <c r="B45" s="5">
        <v>4695</v>
      </c>
      <c r="C45">
        <v>2014</v>
      </c>
      <c r="D45">
        <v>54907</v>
      </c>
      <c r="E45" t="s">
        <v>9</v>
      </c>
      <c r="F45" t="s">
        <v>8</v>
      </c>
      <c r="G45" t="s">
        <v>19</v>
      </c>
      <c r="H45" s="1" t="s">
        <v>10</v>
      </c>
      <c r="I45">
        <v>3</v>
      </c>
      <c r="J45" t="s">
        <v>22</v>
      </c>
      <c r="K45" t="s">
        <v>24</v>
      </c>
      <c r="L45">
        <v>0.39195494564010935</v>
      </c>
      <c r="M45">
        <f t="shared" si="4"/>
        <v>4695</v>
      </c>
      <c r="N45">
        <v>1</v>
      </c>
      <c r="O45">
        <f t="shared" si="5"/>
        <v>1</v>
      </c>
      <c r="P45">
        <f t="shared" si="6"/>
        <v>0</v>
      </c>
      <c r="Q45">
        <f t="shared" si="7"/>
        <v>1</v>
      </c>
      <c r="R45">
        <f>2024 - Table1[[#This Row],[YEAR]]</f>
        <v>10</v>
      </c>
      <c r="T45" s="32"/>
      <c r="U45" s="32" t="s">
        <v>123</v>
      </c>
      <c r="V45" s="32" t="s">
        <v>111</v>
      </c>
      <c r="W45" s="32" t="s">
        <v>124</v>
      </c>
      <c r="X45" s="32" t="s">
        <v>125</v>
      </c>
      <c r="Y45" s="32" t="s">
        <v>126</v>
      </c>
      <c r="Z45" s="32" t="s">
        <v>127</v>
      </c>
      <c r="AA45" s="32" t="s">
        <v>128</v>
      </c>
      <c r="AB45" s="32" t="s">
        <v>129</v>
      </c>
    </row>
    <row r="46" spans="1:31" ht="15" x14ac:dyDescent="0.35">
      <c r="A46">
        <v>2</v>
      </c>
      <c r="B46" s="6">
        <v>1199</v>
      </c>
      <c r="C46">
        <v>2006</v>
      </c>
      <c r="D46">
        <v>70444</v>
      </c>
      <c r="E46" t="s">
        <v>9</v>
      </c>
      <c r="F46" t="s">
        <v>8</v>
      </c>
      <c r="G46" t="s">
        <v>11</v>
      </c>
      <c r="H46" s="1" t="s">
        <v>10</v>
      </c>
      <c r="I46">
        <v>5</v>
      </c>
      <c r="J46" t="s">
        <v>15</v>
      </c>
      <c r="K46" t="s">
        <v>18</v>
      </c>
      <c r="L46">
        <v>0.40659407446395912</v>
      </c>
      <c r="M46">
        <f t="shared" si="4"/>
        <v>1199</v>
      </c>
      <c r="N46">
        <v>1.3</v>
      </c>
      <c r="O46">
        <f t="shared" si="5"/>
        <v>1</v>
      </c>
      <c r="P46">
        <f t="shared" si="6"/>
        <v>0</v>
      </c>
      <c r="Q46">
        <f t="shared" si="7"/>
        <v>1</v>
      </c>
      <c r="R46">
        <f>2024 - Table1[[#This Row],[YEAR]]</f>
        <v>18</v>
      </c>
      <c r="T46" t="s">
        <v>117</v>
      </c>
      <c r="U46">
        <v>13057.827879920227</v>
      </c>
      <c r="V46">
        <v>1797.5330472752958</v>
      </c>
      <c r="W46">
        <v>7.2643047646402437</v>
      </c>
      <c r="X46">
        <v>1.0805943737675894E-10</v>
      </c>
      <c r="Y46">
        <v>9488.7838770252129</v>
      </c>
      <c r="Z46">
        <v>16626.871882815241</v>
      </c>
      <c r="AA46">
        <v>9488.7838770252129</v>
      </c>
      <c r="AB46">
        <v>16626.871882815241</v>
      </c>
    </row>
    <row r="47" spans="1:31" ht="15" x14ac:dyDescent="0.35">
      <c r="A47">
        <v>89</v>
      </c>
      <c r="B47" s="5">
        <v>12699</v>
      </c>
      <c r="C47">
        <v>2022</v>
      </c>
      <c r="D47">
        <v>17995</v>
      </c>
      <c r="E47" t="s">
        <v>27</v>
      </c>
      <c r="F47" t="s">
        <v>28</v>
      </c>
      <c r="G47" t="s">
        <v>19</v>
      </c>
      <c r="H47" s="1" t="s">
        <v>10</v>
      </c>
      <c r="I47">
        <v>5</v>
      </c>
      <c r="J47" t="s">
        <v>15</v>
      </c>
      <c r="K47" t="s">
        <v>21</v>
      </c>
      <c r="L47">
        <v>0.41288998677175937</v>
      </c>
      <c r="M47">
        <f t="shared" si="4"/>
        <v>12699</v>
      </c>
      <c r="N47">
        <v>1</v>
      </c>
      <c r="O47">
        <f t="shared" si="5"/>
        <v>0</v>
      </c>
      <c r="P47">
        <f t="shared" si="6"/>
        <v>0</v>
      </c>
      <c r="Q47">
        <f t="shared" si="7"/>
        <v>0</v>
      </c>
      <c r="R47">
        <f>2024 - Table1[[#This Row],[YEAR]]</f>
        <v>2</v>
      </c>
      <c r="T47" t="s">
        <v>97</v>
      </c>
      <c r="U47">
        <v>1988.1754504118273</v>
      </c>
      <c r="V47">
        <v>1519.5098339220758</v>
      </c>
      <c r="W47">
        <v>1.3084321048979706</v>
      </c>
      <c r="X47">
        <v>0.19391704135643734</v>
      </c>
      <c r="Y47">
        <v>-1028.8469449872875</v>
      </c>
      <c r="Z47">
        <v>5005.1978458109425</v>
      </c>
      <c r="AA47">
        <v>-1028.8469449872875</v>
      </c>
      <c r="AB47">
        <v>5005.1978458109425</v>
      </c>
    </row>
    <row r="48" spans="1:31" ht="15" x14ac:dyDescent="0.35">
      <c r="A48">
        <v>69</v>
      </c>
      <c r="B48" s="5">
        <v>3790</v>
      </c>
      <c r="C48">
        <v>2016</v>
      </c>
      <c r="D48">
        <v>69000</v>
      </c>
      <c r="E48" t="s">
        <v>9</v>
      </c>
      <c r="F48" t="s">
        <v>8</v>
      </c>
      <c r="G48" t="s">
        <v>19</v>
      </c>
      <c r="H48" s="1" t="s">
        <v>10</v>
      </c>
      <c r="I48">
        <v>5</v>
      </c>
      <c r="J48" t="s">
        <v>22</v>
      </c>
      <c r="K48" t="s">
        <v>21</v>
      </c>
      <c r="L48">
        <v>0.42055626199925877</v>
      </c>
      <c r="M48">
        <f t="shared" si="4"/>
        <v>3790</v>
      </c>
      <c r="N48">
        <v>1</v>
      </c>
      <c r="O48">
        <f t="shared" si="5"/>
        <v>1</v>
      </c>
      <c r="P48">
        <f t="shared" si="6"/>
        <v>0</v>
      </c>
      <c r="Q48">
        <f t="shared" si="7"/>
        <v>1</v>
      </c>
      <c r="R48">
        <f>2024 - Table1[[#This Row],[YEAR]]</f>
        <v>8</v>
      </c>
      <c r="T48" t="s">
        <v>103</v>
      </c>
      <c r="U48">
        <v>-391.80681038180012</v>
      </c>
      <c r="V48">
        <v>721.89236524666831</v>
      </c>
      <c r="W48">
        <v>-0.54274962479748767</v>
      </c>
      <c r="X48">
        <v>0.58858678539283371</v>
      </c>
      <c r="Y48">
        <v>-1825.1410240835899</v>
      </c>
      <c r="Z48">
        <v>1041.5274033199898</v>
      </c>
      <c r="AA48">
        <v>-1825.1410240835899</v>
      </c>
      <c r="AB48">
        <v>1041.5274033199898</v>
      </c>
    </row>
    <row r="49" spans="1:28" ht="15" x14ac:dyDescent="0.35">
      <c r="A49">
        <v>13</v>
      </c>
      <c r="B49" s="5">
        <v>16949</v>
      </c>
      <c r="C49">
        <v>2023</v>
      </c>
      <c r="D49">
        <v>9102</v>
      </c>
      <c r="E49" t="s">
        <v>27</v>
      </c>
      <c r="F49" t="s">
        <v>28</v>
      </c>
      <c r="G49" t="s">
        <v>19</v>
      </c>
      <c r="H49" s="1" t="s">
        <v>10</v>
      </c>
      <c r="I49">
        <v>5</v>
      </c>
      <c r="J49" t="s">
        <v>15</v>
      </c>
      <c r="K49" t="s">
        <v>30</v>
      </c>
      <c r="L49">
        <v>0.44120617399431916</v>
      </c>
      <c r="M49">
        <f t="shared" si="4"/>
        <v>16949</v>
      </c>
      <c r="N49">
        <v>1</v>
      </c>
      <c r="O49">
        <f t="shared" si="5"/>
        <v>0</v>
      </c>
      <c r="P49">
        <f t="shared" si="6"/>
        <v>0</v>
      </c>
      <c r="Q49">
        <f t="shared" si="7"/>
        <v>0</v>
      </c>
      <c r="R49">
        <f>2024 - Table1[[#This Row],[YEAR]]</f>
        <v>1</v>
      </c>
      <c r="T49" t="s">
        <v>104</v>
      </c>
      <c r="U49">
        <v>-1678.1151550156455</v>
      </c>
      <c r="V49">
        <v>1437.5123371510533</v>
      </c>
      <c r="W49">
        <v>-1.16737443682844</v>
      </c>
      <c r="X49">
        <v>0.24601188877193095</v>
      </c>
      <c r="Y49">
        <v>-4532.3295984015131</v>
      </c>
      <c r="Z49">
        <v>1176.0992883702224</v>
      </c>
      <c r="AA49">
        <v>-4532.3295984015131</v>
      </c>
      <c r="AB49">
        <v>1176.0992883702224</v>
      </c>
    </row>
    <row r="50" spans="1:28" ht="15" x14ac:dyDescent="0.35">
      <c r="A50">
        <v>48</v>
      </c>
      <c r="B50" s="5">
        <v>4500</v>
      </c>
      <c r="C50">
        <v>2011</v>
      </c>
      <c r="D50">
        <v>61000</v>
      </c>
      <c r="E50" t="s">
        <v>38</v>
      </c>
      <c r="F50" t="s">
        <v>8</v>
      </c>
      <c r="G50" t="s">
        <v>37</v>
      </c>
      <c r="H50" s="1" t="s">
        <v>10</v>
      </c>
      <c r="I50">
        <v>3</v>
      </c>
      <c r="J50" t="s">
        <v>32</v>
      </c>
      <c r="K50" t="s">
        <v>24</v>
      </c>
      <c r="L50">
        <v>0.44153426362412274</v>
      </c>
      <c r="M50">
        <f t="shared" si="4"/>
        <v>4500</v>
      </c>
      <c r="N50">
        <v>1.6</v>
      </c>
      <c r="O50">
        <f t="shared" si="5"/>
        <v>0</v>
      </c>
      <c r="P50">
        <f t="shared" si="6"/>
        <v>0</v>
      </c>
      <c r="Q50">
        <f t="shared" si="7"/>
        <v>1</v>
      </c>
      <c r="R50">
        <f>2024 - Table1[[#This Row],[YEAR]]</f>
        <v>13</v>
      </c>
      <c r="T50" t="s">
        <v>105</v>
      </c>
      <c r="U50">
        <v>-2536.1364665024648</v>
      </c>
      <c r="V50">
        <v>985.07118493373582</v>
      </c>
      <c r="W50">
        <v>-2.574571772366955</v>
      </c>
      <c r="X50">
        <v>1.1597610559276602E-2</v>
      </c>
      <c r="Y50">
        <v>-4492.018396095712</v>
      </c>
      <c r="Z50">
        <v>-580.2545369092179</v>
      </c>
      <c r="AA50">
        <v>-4492.018396095712</v>
      </c>
      <c r="AB50">
        <v>-580.2545369092179</v>
      </c>
    </row>
    <row r="51" spans="1:28" ht="15.6" thickBot="1" x14ac:dyDescent="0.4">
      <c r="A51">
        <v>78</v>
      </c>
      <c r="B51" s="5">
        <v>595</v>
      </c>
      <c r="C51">
        <v>2004</v>
      </c>
      <c r="D51">
        <v>10900</v>
      </c>
      <c r="E51" t="s">
        <v>9</v>
      </c>
      <c r="F51" t="s">
        <v>8</v>
      </c>
      <c r="G51" t="s">
        <v>23</v>
      </c>
      <c r="H51" s="1" t="s">
        <v>10</v>
      </c>
      <c r="I51">
        <v>3</v>
      </c>
      <c r="J51" t="s">
        <v>13</v>
      </c>
      <c r="K51" t="s">
        <v>36</v>
      </c>
      <c r="L51">
        <v>0.44372632517606259</v>
      </c>
      <c r="M51">
        <f t="shared" si="4"/>
        <v>595</v>
      </c>
      <c r="N51">
        <v>1.4</v>
      </c>
      <c r="O51">
        <f t="shared" si="5"/>
        <v>1</v>
      </c>
      <c r="P51">
        <f t="shared" si="6"/>
        <v>0</v>
      </c>
      <c r="Q51">
        <f t="shared" si="7"/>
        <v>1</v>
      </c>
      <c r="R51">
        <f>2024 - Table1[[#This Row],[YEAR]]</f>
        <v>20</v>
      </c>
      <c r="T51" s="31" t="s">
        <v>73</v>
      </c>
      <c r="U51" s="31">
        <v>-759.8573328635697</v>
      </c>
      <c r="V51" s="31">
        <v>60.608989963964085</v>
      </c>
      <c r="W51" s="31">
        <v>-12.537040021873874</v>
      </c>
      <c r="X51" s="31">
        <v>8.9387293852682714E-22</v>
      </c>
      <c r="Y51" s="31">
        <v>-880.19790322487825</v>
      </c>
      <c r="Z51" s="31">
        <v>-639.51676250226114</v>
      </c>
      <c r="AA51" s="31">
        <v>-880.19790322487825</v>
      </c>
      <c r="AB51" s="31">
        <v>-639.51676250226114</v>
      </c>
    </row>
    <row r="52" spans="1:28" ht="15" x14ac:dyDescent="0.35">
      <c r="A52">
        <v>75</v>
      </c>
      <c r="B52" s="5">
        <v>7700</v>
      </c>
      <c r="C52">
        <v>2019</v>
      </c>
      <c r="D52">
        <v>57000</v>
      </c>
      <c r="E52" t="s">
        <v>9</v>
      </c>
      <c r="F52" t="s">
        <v>8</v>
      </c>
      <c r="G52" t="s">
        <v>19</v>
      </c>
      <c r="H52" s="1" t="s">
        <v>10</v>
      </c>
      <c r="I52">
        <v>5</v>
      </c>
      <c r="J52" t="s">
        <v>13</v>
      </c>
      <c r="K52" t="s">
        <v>21</v>
      </c>
      <c r="L52">
        <v>0.44854076012616606</v>
      </c>
      <c r="M52">
        <f t="shared" si="4"/>
        <v>7700</v>
      </c>
      <c r="N52">
        <v>1</v>
      </c>
      <c r="O52">
        <f t="shared" si="5"/>
        <v>1</v>
      </c>
      <c r="P52">
        <f t="shared" si="6"/>
        <v>0</v>
      </c>
      <c r="Q52">
        <f t="shared" si="7"/>
        <v>1</v>
      </c>
      <c r="R52">
        <f>2024 - Table1[[#This Row],[YEAR]]</f>
        <v>5</v>
      </c>
    </row>
    <row r="53" spans="1:28" ht="15" x14ac:dyDescent="0.35">
      <c r="A53">
        <v>96</v>
      </c>
      <c r="B53" s="5">
        <v>2250</v>
      </c>
      <c r="C53">
        <v>2009</v>
      </c>
      <c r="D53">
        <v>52000</v>
      </c>
      <c r="E53" t="s">
        <v>9</v>
      </c>
      <c r="F53" t="s">
        <v>8</v>
      </c>
      <c r="G53" t="s">
        <v>11</v>
      </c>
      <c r="H53" s="1" t="s">
        <v>10</v>
      </c>
      <c r="I53">
        <v>3</v>
      </c>
      <c r="J53" t="s">
        <v>16</v>
      </c>
      <c r="K53" t="s">
        <v>36</v>
      </c>
      <c r="L53">
        <v>0.45780554303966958</v>
      </c>
      <c r="M53">
        <f t="shared" si="4"/>
        <v>2250</v>
      </c>
      <c r="N53">
        <v>1.3</v>
      </c>
      <c r="O53">
        <f t="shared" si="5"/>
        <v>1</v>
      </c>
      <c r="P53">
        <f t="shared" si="6"/>
        <v>0</v>
      </c>
      <c r="Q53">
        <f t="shared" si="7"/>
        <v>1</v>
      </c>
      <c r="R53">
        <f>2024 - Table1[[#This Row],[YEAR]]</f>
        <v>15</v>
      </c>
    </row>
    <row r="54" spans="1:28" ht="15" x14ac:dyDescent="0.35">
      <c r="A54">
        <v>23</v>
      </c>
      <c r="B54" s="5">
        <v>1599</v>
      </c>
      <c r="C54">
        <v>2012</v>
      </c>
      <c r="D54">
        <v>65113</v>
      </c>
      <c r="E54" t="s">
        <v>9</v>
      </c>
      <c r="F54" t="s">
        <v>8</v>
      </c>
      <c r="G54" t="s">
        <v>11</v>
      </c>
      <c r="H54" s="1" t="s">
        <v>10</v>
      </c>
      <c r="I54">
        <v>5</v>
      </c>
      <c r="J54" t="s">
        <v>22</v>
      </c>
      <c r="K54" t="s">
        <v>24</v>
      </c>
      <c r="L54">
        <v>0.46121070032681299</v>
      </c>
      <c r="M54">
        <f t="shared" si="4"/>
        <v>1599</v>
      </c>
      <c r="N54">
        <v>1.3</v>
      </c>
      <c r="O54">
        <f t="shared" si="5"/>
        <v>1</v>
      </c>
      <c r="P54">
        <f t="shared" si="6"/>
        <v>0</v>
      </c>
      <c r="Q54">
        <f t="shared" si="7"/>
        <v>1</v>
      </c>
      <c r="R54">
        <f>2024 - Table1[[#This Row],[YEAR]]</f>
        <v>12</v>
      </c>
    </row>
    <row r="55" spans="1:28" ht="15" x14ac:dyDescent="0.35">
      <c r="A55">
        <v>85</v>
      </c>
      <c r="B55" s="5">
        <v>14330</v>
      </c>
      <c r="C55">
        <v>2023</v>
      </c>
      <c r="D55">
        <v>26697</v>
      </c>
      <c r="E55" t="s">
        <v>9</v>
      </c>
      <c r="F55" t="s">
        <v>8</v>
      </c>
      <c r="G55" t="s">
        <v>19</v>
      </c>
      <c r="H55" s="1" t="s">
        <v>10</v>
      </c>
      <c r="I55">
        <v>5</v>
      </c>
      <c r="J55" t="s">
        <v>32</v>
      </c>
      <c r="K55" t="s">
        <v>44</v>
      </c>
      <c r="L55">
        <v>0.46296552782842748</v>
      </c>
      <c r="M55">
        <f t="shared" si="4"/>
        <v>14330</v>
      </c>
      <c r="N55">
        <v>1</v>
      </c>
      <c r="O55">
        <f t="shared" si="5"/>
        <v>1</v>
      </c>
      <c r="P55">
        <f t="shared" si="6"/>
        <v>0</v>
      </c>
      <c r="Q55">
        <f t="shared" si="7"/>
        <v>1</v>
      </c>
      <c r="R55">
        <f>2024 - Table1[[#This Row],[YEAR]]</f>
        <v>1</v>
      </c>
    </row>
    <row r="56" spans="1:28" ht="15" x14ac:dyDescent="0.35">
      <c r="A56">
        <v>59</v>
      </c>
      <c r="B56" s="5">
        <v>3995</v>
      </c>
      <c r="C56">
        <v>2015</v>
      </c>
      <c r="D56">
        <v>95000</v>
      </c>
      <c r="E56" t="s">
        <v>25</v>
      </c>
      <c r="F56" t="s">
        <v>8</v>
      </c>
      <c r="G56" t="s">
        <v>40</v>
      </c>
      <c r="H56" s="1" t="s">
        <v>10</v>
      </c>
      <c r="I56">
        <v>5</v>
      </c>
      <c r="J56" t="s">
        <v>32</v>
      </c>
      <c r="K56" t="s">
        <v>30</v>
      </c>
      <c r="L56">
        <v>0.46913565838407023</v>
      </c>
      <c r="M56">
        <f t="shared" si="4"/>
        <v>3995</v>
      </c>
      <c r="N56">
        <v>1.5</v>
      </c>
      <c r="O56">
        <f t="shared" si="5"/>
        <v>0</v>
      </c>
      <c r="P56">
        <f t="shared" si="6"/>
        <v>1</v>
      </c>
      <c r="Q56">
        <f t="shared" si="7"/>
        <v>1</v>
      </c>
      <c r="R56">
        <f>2024 - Table1[[#This Row],[YEAR]]</f>
        <v>9</v>
      </c>
    </row>
    <row r="57" spans="1:28" ht="15" x14ac:dyDescent="0.35">
      <c r="A57">
        <v>18</v>
      </c>
      <c r="B57" s="5">
        <v>3250</v>
      </c>
      <c r="C57">
        <v>2013</v>
      </c>
      <c r="D57">
        <v>73850</v>
      </c>
      <c r="E57" t="s">
        <v>33</v>
      </c>
      <c r="F57" t="s">
        <v>8</v>
      </c>
      <c r="G57" t="s">
        <v>19</v>
      </c>
      <c r="H57" s="1" t="s">
        <v>10</v>
      </c>
      <c r="I57">
        <v>5</v>
      </c>
      <c r="J57" t="s">
        <v>20</v>
      </c>
      <c r="K57" t="s">
        <v>24</v>
      </c>
      <c r="L57">
        <v>0.47762418590650124</v>
      </c>
      <c r="M57">
        <f t="shared" si="4"/>
        <v>3250</v>
      </c>
      <c r="N57">
        <v>1</v>
      </c>
      <c r="O57">
        <f t="shared" si="5"/>
        <v>0</v>
      </c>
      <c r="P57">
        <f t="shared" si="6"/>
        <v>0</v>
      </c>
      <c r="Q57">
        <f t="shared" si="7"/>
        <v>1</v>
      </c>
      <c r="R57">
        <f>2024 - Table1[[#This Row],[YEAR]]</f>
        <v>11</v>
      </c>
    </row>
    <row r="58" spans="1:28" ht="15" x14ac:dyDescent="0.35">
      <c r="A58">
        <v>98</v>
      </c>
      <c r="B58" s="5">
        <v>11643</v>
      </c>
      <c r="C58">
        <v>2021</v>
      </c>
      <c r="D58">
        <v>42100</v>
      </c>
      <c r="E58" t="s">
        <v>9</v>
      </c>
      <c r="F58" t="s">
        <v>8</v>
      </c>
      <c r="G58" t="s">
        <v>19</v>
      </c>
      <c r="H58" s="1" t="s">
        <v>10</v>
      </c>
      <c r="I58">
        <v>5</v>
      </c>
      <c r="J58" t="s">
        <v>32</v>
      </c>
      <c r="K58" t="s">
        <v>21</v>
      </c>
      <c r="L58">
        <v>0.49060292324001864</v>
      </c>
      <c r="M58">
        <f t="shared" si="4"/>
        <v>11643</v>
      </c>
      <c r="N58">
        <v>1</v>
      </c>
      <c r="O58">
        <f t="shared" si="5"/>
        <v>1</v>
      </c>
      <c r="P58">
        <f t="shared" si="6"/>
        <v>0</v>
      </c>
      <c r="Q58">
        <f t="shared" si="7"/>
        <v>1</v>
      </c>
      <c r="R58">
        <f>2024 - Table1[[#This Row],[YEAR]]</f>
        <v>3</v>
      </c>
    </row>
    <row r="59" spans="1:28" ht="15" x14ac:dyDescent="0.35">
      <c r="A59">
        <v>22</v>
      </c>
      <c r="B59" s="5">
        <v>11844</v>
      </c>
      <c r="C59">
        <v>2022</v>
      </c>
      <c r="D59">
        <v>14099</v>
      </c>
      <c r="E59" t="s">
        <v>34</v>
      </c>
      <c r="F59" t="s">
        <v>8</v>
      </c>
      <c r="G59" t="s">
        <v>35</v>
      </c>
      <c r="H59" s="1" t="s">
        <v>10</v>
      </c>
      <c r="I59">
        <v>5</v>
      </c>
      <c r="J59" t="s">
        <v>29</v>
      </c>
      <c r="K59" t="s">
        <v>21</v>
      </c>
      <c r="L59">
        <v>0.50688572186943914</v>
      </c>
      <c r="M59">
        <f t="shared" si="4"/>
        <v>11844</v>
      </c>
      <c r="N59">
        <v>1.1000000000000001</v>
      </c>
      <c r="O59">
        <f t="shared" si="5"/>
        <v>0</v>
      </c>
      <c r="P59">
        <f t="shared" si="6"/>
        <v>0</v>
      </c>
      <c r="Q59">
        <f t="shared" si="7"/>
        <v>1</v>
      </c>
      <c r="R59">
        <f>2024 - Table1[[#This Row],[YEAR]]</f>
        <v>2</v>
      </c>
    </row>
    <row r="60" spans="1:28" ht="15" x14ac:dyDescent="0.35">
      <c r="A60">
        <v>64</v>
      </c>
      <c r="B60" s="5">
        <v>14205</v>
      </c>
      <c r="C60">
        <v>2022</v>
      </c>
      <c r="D60">
        <v>11410</v>
      </c>
      <c r="E60" t="s">
        <v>27</v>
      </c>
      <c r="F60" t="s">
        <v>8</v>
      </c>
      <c r="G60" t="s">
        <v>19</v>
      </c>
      <c r="H60" s="1" t="s">
        <v>10</v>
      </c>
      <c r="I60">
        <v>5</v>
      </c>
      <c r="J60" t="s">
        <v>22</v>
      </c>
      <c r="K60" t="s">
        <v>21</v>
      </c>
      <c r="L60">
        <v>0.52190022526808533</v>
      </c>
      <c r="M60">
        <f t="shared" si="4"/>
        <v>14205</v>
      </c>
      <c r="N60">
        <v>1</v>
      </c>
      <c r="O60">
        <f t="shared" si="5"/>
        <v>0</v>
      </c>
      <c r="P60">
        <f t="shared" si="6"/>
        <v>0</v>
      </c>
      <c r="Q60">
        <f t="shared" si="7"/>
        <v>1</v>
      </c>
      <c r="R60">
        <f>2024 - Table1[[#This Row],[YEAR]]</f>
        <v>2</v>
      </c>
    </row>
    <row r="61" spans="1:28" ht="15" x14ac:dyDescent="0.35">
      <c r="A61">
        <v>1</v>
      </c>
      <c r="B61" s="5">
        <v>999</v>
      </c>
      <c r="C61" s="1">
        <v>2012</v>
      </c>
      <c r="D61" s="1">
        <v>98000</v>
      </c>
      <c r="E61" s="8" t="s">
        <v>9</v>
      </c>
      <c r="F61" s="1" t="s">
        <v>8</v>
      </c>
      <c r="G61" s="1" t="s">
        <v>11</v>
      </c>
      <c r="H61" s="1" t="s">
        <v>10</v>
      </c>
      <c r="I61">
        <v>5</v>
      </c>
      <c r="J61" s="1" t="s">
        <v>13</v>
      </c>
      <c r="K61" s="1" t="s">
        <v>24</v>
      </c>
      <c r="L61">
        <v>0.5247729603542336</v>
      </c>
      <c r="M61">
        <f t="shared" si="4"/>
        <v>999</v>
      </c>
      <c r="N61">
        <v>1.3</v>
      </c>
      <c r="O61">
        <f t="shared" si="5"/>
        <v>1</v>
      </c>
      <c r="P61">
        <f t="shared" si="6"/>
        <v>0</v>
      </c>
      <c r="Q61">
        <f t="shared" si="7"/>
        <v>1</v>
      </c>
      <c r="R61">
        <f>2024 - Table1[[#This Row],[YEAR]]</f>
        <v>12</v>
      </c>
    </row>
    <row r="62" spans="1:28" ht="15" x14ac:dyDescent="0.35">
      <c r="A62">
        <v>34</v>
      </c>
      <c r="B62" s="5">
        <v>2495</v>
      </c>
      <c r="C62">
        <v>2014</v>
      </c>
      <c r="D62">
        <v>91000</v>
      </c>
      <c r="E62" t="s">
        <v>9</v>
      </c>
      <c r="F62" t="s">
        <v>8</v>
      </c>
      <c r="G62" t="s">
        <v>19</v>
      </c>
      <c r="H62" s="1" t="s">
        <v>10</v>
      </c>
      <c r="I62">
        <v>3</v>
      </c>
      <c r="J62" t="s">
        <v>32</v>
      </c>
      <c r="K62" t="s">
        <v>24</v>
      </c>
      <c r="L62">
        <v>0.52663006353813735</v>
      </c>
      <c r="M62">
        <f t="shared" si="4"/>
        <v>2495</v>
      </c>
      <c r="N62">
        <v>1</v>
      </c>
      <c r="O62">
        <f t="shared" si="5"/>
        <v>1</v>
      </c>
      <c r="P62">
        <f t="shared" si="6"/>
        <v>0</v>
      </c>
      <c r="Q62">
        <f t="shared" si="7"/>
        <v>1</v>
      </c>
      <c r="R62">
        <f>2024 - Table1[[#This Row],[YEAR]]</f>
        <v>10</v>
      </c>
    </row>
    <row r="63" spans="1:28" ht="15" x14ac:dyDescent="0.35">
      <c r="A63">
        <v>56</v>
      </c>
      <c r="B63" s="5">
        <v>3521</v>
      </c>
      <c r="C63">
        <v>2015</v>
      </c>
      <c r="D63">
        <v>80000</v>
      </c>
      <c r="E63" t="s">
        <v>9</v>
      </c>
      <c r="F63" t="s">
        <v>8</v>
      </c>
      <c r="G63" t="s">
        <v>19</v>
      </c>
      <c r="H63" s="1" t="s">
        <v>10</v>
      </c>
      <c r="I63">
        <v>3</v>
      </c>
      <c r="J63" t="s">
        <v>29</v>
      </c>
      <c r="K63" t="s">
        <v>21</v>
      </c>
      <c r="L63">
        <v>0.54409881085810885</v>
      </c>
      <c r="M63">
        <f t="shared" si="4"/>
        <v>3521</v>
      </c>
      <c r="N63">
        <v>1</v>
      </c>
      <c r="O63">
        <f t="shared" si="5"/>
        <v>1</v>
      </c>
      <c r="P63">
        <f t="shared" si="6"/>
        <v>0</v>
      </c>
      <c r="Q63">
        <f t="shared" si="7"/>
        <v>1</v>
      </c>
      <c r="R63">
        <f>2024 - Table1[[#This Row],[YEAR]]</f>
        <v>9</v>
      </c>
    </row>
    <row r="64" spans="1:28" ht="15" x14ac:dyDescent="0.35">
      <c r="A64">
        <v>6</v>
      </c>
      <c r="B64" s="5">
        <v>1650</v>
      </c>
      <c r="C64">
        <v>2009</v>
      </c>
      <c r="D64">
        <v>86900</v>
      </c>
      <c r="E64" t="s">
        <v>9</v>
      </c>
      <c r="F64" t="s">
        <v>8</v>
      </c>
      <c r="G64" t="s">
        <v>23</v>
      </c>
      <c r="H64" s="1" t="s">
        <v>10</v>
      </c>
      <c r="I64">
        <v>5</v>
      </c>
      <c r="J64" t="s">
        <v>15</v>
      </c>
      <c r="K64" t="s">
        <v>18</v>
      </c>
      <c r="L64">
        <v>0.54432184058724031</v>
      </c>
      <c r="M64">
        <f t="shared" si="4"/>
        <v>1650</v>
      </c>
      <c r="N64">
        <v>1.4</v>
      </c>
      <c r="O64">
        <f t="shared" si="5"/>
        <v>1</v>
      </c>
      <c r="P64">
        <f t="shared" si="6"/>
        <v>0</v>
      </c>
      <c r="Q64">
        <f t="shared" si="7"/>
        <v>1</v>
      </c>
      <c r="R64">
        <f>2024 - Table1[[#This Row],[YEAR]]</f>
        <v>15</v>
      </c>
    </row>
    <row r="65" spans="1:18" ht="15" x14ac:dyDescent="0.35">
      <c r="A65">
        <v>94</v>
      </c>
      <c r="B65" s="5">
        <v>10430</v>
      </c>
      <c r="C65">
        <v>2018</v>
      </c>
      <c r="D65">
        <v>30365</v>
      </c>
      <c r="E65" t="s">
        <v>9</v>
      </c>
      <c r="F65" t="s">
        <v>8</v>
      </c>
      <c r="G65" t="s">
        <v>19</v>
      </c>
      <c r="H65" s="1" t="s">
        <v>10</v>
      </c>
      <c r="I65">
        <v>5</v>
      </c>
      <c r="J65" t="s">
        <v>32</v>
      </c>
      <c r="K65" t="s">
        <v>21</v>
      </c>
      <c r="L65">
        <v>0.55953696281675702</v>
      </c>
      <c r="M65">
        <f t="shared" si="4"/>
        <v>10430</v>
      </c>
      <c r="N65">
        <v>1</v>
      </c>
      <c r="O65">
        <f t="shared" si="5"/>
        <v>1</v>
      </c>
      <c r="P65">
        <f t="shared" si="6"/>
        <v>0</v>
      </c>
      <c r="Q65">
        <f t="shared" si="7"/>
        <v>1</v>
      </c>
      <c r="R65">
        <f>2024 - Table1[[#This Row],[YEAR]]</f>
        <v>6</v>
      </c>
    </row>
    <row r="66" spans="1:18" ht="15" x14ac:dyDescent="0.35">
      <c r="A66">
        <v>84</v>
      </c>
      <c r="B66" s="5">
        <v>5495</v>
      </c>
      <c r="C66">
        <v>2015</v>
      </c>
      <c r="D66">
        <v>105000</v>
      </c>
      <c r="E66" t="s">
        <v>9</v>
      </c>
      <c r="F66" t="s">
        <v>8</v>
      </c>
      <c r="G66" t="s">
        <v>37</v>
      </c>
      <c r="H66" s="1" t="s">
        <v>10</v>
      </c>
      <c r="I66">
        <v>3</v>
      </c>
      <c r="J66" t="s">
        <v>32</v>
      </c>
      <c r="K66" t="s">
        <v>21</v>
      </c>
      <c r="L66">
        <v>0.60695300027170451</v>
      </c>
      <c r="M66">
        <f t="shared" ref="M66:M101" si="8">VALUE(SUBSTITUTE(B66,"£",""))</f>
        <v>5495</v>
      </c>
      <c r="N66">
        <v>1.6</v>
      </c>
      <c r="O66">
        <f t="shared" ref="O66:O101" si="9">IF(E66="Petrol",1,0)</f>
        <v>1</v>
      </c>
      <c r="P66">
        <f t="shared" ref="P66:P101" si="10">IF(E66="Diesel",1,0)</f>
        <v>0</v>
      </c>
      <c r="Q66">
        <f t="shared" ref="Q66:Q101" si="11">IF(F66="Manual",1,0)</f>
        <v>1</v>
      </c>
      <c r="R66">
        <f>2024 - Table1[[#This Row],[YEAR]]</f>
        <v>9</v>
      </c>
    </row>
    <row r="67" spans="1:18" ht="15" x14ac:dyDescent="0.35">
      <c r="A67">
        <v>39</v>
      </c>
      <c r="B67" s="5">
        <v>3999</v>
      </c>
      <c r="C67">
        <v>2015</v>
      </c>
      <c r="D67">
        <v>84800</v>
      </c>
      <c r="E67" t="s">
        <v>9</v>
      </c>
      <c r="F67" t="s">
        <v>8</v>
      </c>
      <c r="G67" t="s">
        <v>19</v>
      </c>
      <c r="H67" s="1" t="s">
        <v>10</v>
      </c>
      <c r="I67">
        <v>5</v>
      </c>
      <c r="J67" t="s">
        <v>20</v>
      </c>
      <c r="K67" t="s">
        <v>21</v>
      </c>
      <c r="L67">
        <v>0.61472825898773253</v>
      </c>
      <c r="M67">
        <f t="shared" si="8"/>
        <v>3999</v>
      </c>
      <c r="N67">
        <v>1</v>
      </c>
      <c r="O67">
        <f t="shared" si="9"/>
        <v>1</v>
      </c>
      <c r="P67">
        <f t="shared" si="10"/>
        <v>0</v>
      </c>
      <c r="Q67">
        <f t="shared" si="11"/>
        <v>1</v>
      </c>
      <c r="R67">
        <f>2024 - Table1[[#This Row],[YEAR]]</f>
        <v>9</v>
      </c>
    </row>
    <row r="68" spans="1:18" ht="15" x14ac:dyDescent="0.35">
      <c r="A68">
        <v>74</v>
      </c>
      <c r="B68" s="5">
        <v>3995</v>
      </c>
      <c r="C68">
        <v>2016</v>
      </c>
      <c r="D68">
        <v>83900</v>
      </c>
      <c r="E68" t="s">
        <v>9</v>
      </c>
      <c r="F68" t="s">
        <v>8</v>
      </c>
      <c r="G68" t="s">
        <v>19</v>
      </c>
      <c r="H68" s="1" t="s">
        <v>10</v>
      </c>
      <c r="I68">
        <v>5</v>
      </c>
      <c r="J68" t="s">
        <v>15</v>
      </c>
      <c r="K68" t="s">
        <v>36</v>
      </c>
      <c r="L68">
        <v>0.62324736341765585</v>
      </c>
      <c r="M68">
        <f t="shared" si="8"/>
        <v>3995</v>
      </c>
      <c r="N68">
        <v>1</v>
      </c>
      <c r="O68">
        <f t="shared" si="9"/>
        <v>1</v>
      </c>
      <c r="P68">
        <f t="shared" si="10"/>
        <v>0</v>
      </c>
      <c r="Q68">
        <f t="shared" si="11"/>
        <v>1</v>
      </c>
      <c r="R68">
        <f>2024 - Table1[[#This Row],[YEAR]]</f>
        <v>8</v>
      </c>
    </row>
    <row r="69" spans="1:18" ht="15" x14ac:dyDescent="0.35">
      <c r="A69">
        <v>81</v>
      </c>
      <c r="B69" s="5">
        <v>3850</v>
      </c>
      <c r="C69">
        <v>2012</v>
      </c>
      <c r="D69">
        <v>56678</v>
      </c>
      <c r="E69" t="s">
        <v>9</v>
      </c>
      <c r="F69" t="s">
        <v>8</v>
      </c>
      <c r="G69" t="s">
        <v>11</v>
      </c>
      <c r="H69" s="1" t="s">
        <v>10</v>
      </c>
      <c r="I69">
        <v>5</v>
      </c>
      <c r="J69" t="s">
        <v>29</v>
      </c>
      <c r="K69" t="s">
        <v>24</v>
      </c>
      <c r="L69">
        <v>0.63398365292714709</v>
      </c>
      <c r="M69">
        <f t="shared" si="8"/>
        <v>3850</v>
      </c>
      <c r="N69">
        <v>1.3</v>
      </c>
      <c r="O69">
        <f t="shared" si="9"/>
        <v>1</v>
      </c>
      <c r="P69">
        <f t="shared" si="10"/>
        <v>0</v>
      </c>
      <c r="Q69">
        <f t="shared" si="11"/>
        <v>1</v>
      </c>
      <c r="R69">
        <f>2024 - Table1[[#This Row],[YEAR]]</f>
        <v>12</v>
      </c>
    </row>
    <row r="70" spans="1:18" ht="15" x14ac:dyDescent="0.35">
      <c r="A70">
        <v>35</v>
      </c>
      <c r="B70" s="5">
        <v>2495</v>
      </c>
      <c r="C70">
        <v>2015</v>
      </c>
      <c r="D70">
        <v>117000</v>
      </c>
      <c r="E70" t="s">
        <v>9</v>
      </c>
      <c r="F70" t="s">
        <v>8</v>
      </c>
      <c r="G70" t="s">
        <v>19</v>
      </c>
      <c r="H70" s="1" t="s">
        <v>10</v>
      </c>
      <c r="I70">
        <v>3</v>
      </c>
      <c r="J70" t="s">
        <v>32</v>
      </c>
      <c r="K70" t="s">
        <v>21</v>
      </c>
      <c r="L70">
        <v>0.6450546229737617</v>
      </c>
      <c r="M70">
        <f t="shared" si="8"/>
        <v>2495</v>
      </c>
      <c r="N70">
        <v>1</v>
      </c>
      <c r="O70">
        <f t="shared" si="9"/>
        <v>1</v>
      </c>
      <c r="P70">
        <f t="shared" si="10"/>
        <v>0</v>
      </c>
      <c r="Q70">
        <f t="shared" si="11"/>
        <v>1</v>
      </c>
      <c r="R70">
        <f>2024 - Table1[[#This Row],[YEAR]]</f>
        <v>9</v>
      </c>
    </row>
    <row r="71" spans="1:18" ht="15" x14ac:dyDescent="0.35">
      <c r="A71">
        <v>86</v>
      </c>
      <c r="B71" s="5">
        <v>13629</v>
      </c>
      <c r="C71">
        <v>2022</v>
      </c>
      <c r="D71">
        <v>18714</v>
      </c>
      <c r="E71" t="s">
        <v>9</v>
      </c>
      <c r="F71" t="s">
        <v>8</v>
      </c>
      <c r="G71" t="s">
        <v>19</v>
      </c>
      <c r="H71" s="1" t="s">
        <v>10</v>
      </c>
      <c r="I71">
        <v>5</v>
      </c>
      <c r="J71" t="s">
        <v>20</v>
      </c>
      <c r="K71" t="s">
        <v>21</v>
      </c>
      <c r="L71">
        <v>0.6521784420701876</v>
      </c>
      <c r="M71">
        <f t="shared" si="8"/>
        <v>13629</v>
      </c>
      <c r="N71">
        <v>1</v>
      </c>
      <c r="O71">
        <f t="shared" si="9"/>
        <v>1</v>
      </c>
      <c r="P71">
        <f t="shared" si="10"/>
        <v>0</v>
      </c>
      <c r="Q71">
        <f t="shared" si="11"/>
        <v>1</v>
      </c>
      <c r="R71">
        <f>2024 - Table1[[#This Row],[YEAR]]</f>
        <v>2</v>
      </c>
    </row>
    <row r="72" spans="1:18" ht="15" x14ac:dyDescent="0.35">
      <c r="A72">
        <v>100</v>
      </c>
      <c r="B72" s="5">
        <v>12099</v>
      </c>
      <c r="C72">
        <v>2021</v>
      </c>
      <c r="D72">
        <v>19147</v>
      </c>
      <c r="E72" t="s">
        <v>9</v>
      </c>
      <c r="F72" t="s">
        <v>8</v>
      </c>
      <c r="G72" t="s">
        <v>19</v>
      </c>
      <c r="H72" s="1" t="s">
        <v>10</v>
      </c>
      <c r="I72">
        <v>5</v>
      </c>
      <c r="J72" t="s">
        <v>15</v>
      </c>
      <c r="K72" t="s">
        <v>21</v>
      </c>
      <c r="L72">
        <v>0.65338871520871411</v>
      </c>
      <c r="M72">
        <f t="shared" si="8"/>
        <v>12099</v>
      </c>
      <c r="N72">
        <v>1</v>
      </c>
      <c r="O72">
        <f t="shared" si="9"/>
        <v>1</v>
      </c>
      <c r="P72">
        <f t="shared" si="10"/>
        <v>0</v>
      </c>
      <c r="Q72">
        <f t="shared" si="11"/>
        <v>1</v>
      </c>
      <c r="R72">
        <f>2024 - Table1[[#This Row],[YEAR]]</f>
        <v>3</v>
      </c>
    </row>
    <row r="73" spans="1:18" ht="15" x14ac:dyDescent="0.35">
      <c r="A73">
        <v>93</v>
      </c>
      <c r="B73" s="5">
        <v>18990</v>
      </c>
      <c r="C73">
        <v>2023</v>
      </c>
      <c r="D73">
        <v>14531</v>
      </c>
      <c r="E73" t="s">
        <v>9</v>
      </c>
      <c r="F73" t="s">
        <v>8</v>
      </c>
      <c r="G73" t="s">
        <v>40</v>
      </c>
      <c r="H73" s="1" t="s">
        <v>10</v>
      </c>
      <c r="I73">
        <v>5</v>
      </c>
      <c r="J73" t="s">
        <v>22</v>
      </c>
      <c r="K73" t="s">
        <v>21</v>
      </c>
      <c r="L73">
        <v>0.65759922842992469</v>
      </c>
      <c r="M73">
        <f t="shared" si="8"/>
        <v>18990</v>
      </c>
      <c r="N73">
        <v>1.5</v>
      </c>
      <c r="O73">
        <f t="shared" si="9"/>
        <v>1</v>
      </c>
      <c r="P73">
        <f t="shared" si="10"/>
        <v>0</v>
      </c>
      <c r="Q73">
        <f t="shared" si="11"/>
        <v>1</v>
      </c>
      <c r="R73">
        <f>2024 - Table1[[#This Row],[YEAR]]</f>
        <v>1</v>
      </c>
    </row>
    <row r="74" spans="1:18" ht="15" x14ac:dyDescent="0.35">
      <c r="A74">
        <v>44</v>
      </c>
      <c r="B74" s="5">
        <v>3500</v>
      </c>
      <c r="C74">
        <v>2010</v>
      </c>
      <c r="D74">
        <v>124627</v>
      </c>
      <c r="E74" t="s">
        <v>38</v>
      </c>
      <c r="F74" t="s">
        <v>8</v>
      </c>
      <c r="G74" t="s">
        <v>23</v>
      </c>
      <c r="H74" s="1" t="s">
        <v>10</v>
      </c>
      <c r="I74">
        <v>5</v>
      </c>
      <c r="J74" t="s">
        <v>22</v>
      </c>
      <c r="K74" t="s">
        <v>36</v>
      </c>
      <c r="L74">
        <v>0.66118224737885956</v>
      </c>
      <c r="M74">
        <f t="shared" si="8"/>
        <v>3500</v>
      </c>
      <c r="N74">
        <v>1.4</v>
      </c>
      <c r="O74">
        <f t="shared" si="9"/>
        <v>0</v>
      </c>
      <c r="P74">
        <f t="shared" si="10"/>
        <v>0</v>
      </c>
      <c r="Q74">
        <f t="shared" si="11"/>
        <v>1</v>
      </c>
      <c r="R74">
        <f>2024 - Table1[[#This Row],[YEAR]]</f>
        <v>14</v>
      </c>
    </row>
    <row r="75" spans="1:18" ht="15" x14ac:dyDescent="0.35">
      <c r="A75">
        <v>54</v>
      </c>
      <c r="B75" s="5">
        <v>6099</v>
      </c>
      <c r="C75">
        <v>2019</v>
      </c>
      <c r="D75">
        <v>103000</v>
      </c>
      <c r="E75" t="s">
        <v>25</v>
      </c>
      <c r="F75" t="s">
        <v>8</v>
      </c>
      <c r="G75" t="s">
        <v>40</v>
      </c>
      <c r="H75" s="1" t="s">
        <v>10</v>
      </c>
      <c r="I75">
        <v>5</v>
      </c>
      <c r="J75" t="s">
        <v>15</v>
      </c>
      <c r="K75" t="s">
        <v>21</v>
      </c>
      <c r="L75">
        <v>0.67648901276252593</v>
      </c>
      <c r="M75">
        <f t="shared" si="8"/>
        <v>6099</v>
      </c>
      <c r="N75">
        <v>1.5</v>
      </c>
      <c r="O75">
        <f t="shared" si="9"/>
        <v>0</v>
      </c>
      <c r="P75">
        <f t="shared" si="10"/>
        <v>1</v>
      </c>
      <c r="Q75">
        <f t="shared" si="11"/>
        <v>1</v>
      </c>
      <c r="R75">
        <f>2024 - Table1[[#This Row],[YEAR]]</f>
        <v>5</v>
      </c>
    </row>
    <row r="76" spans="1:18" ht="15" x14ac:dyDescent="0.35">
      <c r="A76">
        <v>91</v>
      </c>
      <c r="B76" s="5">
        <v>10750</v>
      </c>
      <c r="C76">
        <v>2021</v>
      </c>
      <c r="D76">
        <v>20108</v>
      </c>
      <c r="E76" t="s">
        <v>9</v>
      </c>
      <c r="F76" t="s">
        <v>8</v>
      </c>
      <c r="G76" t="s">
        <v>19</v>
      </c>
      <c r="H76" s="1" t="s">
        <v>10</v>
      </c>
      <c r="I76">
        <v>5</v>
      </c>
      <c r="J76" t="s">
        <v>45</v>
      </c>
      <c r="K76" t="s">
        <v>21</v>
      </c>
      <c r="L76">
        <v>0.67812642202742368</v>
      </c>
      <c r="M76">
        <f t="shared" si="8"/>
        <v>10750</v>
      </c>
      <c r="N76">
        <v>1</v>
      </c>
      <c r="O76">
        <f t="shared" si="9"/>
        <v>1</v>
      </c>
      <c r="P76">
        <f t="shared" si="10"/>
        <v>0</v>
      </c>
      <c r="Q76">
        <f t="shared" si="11"/>
        <v>1</v>
      </c>
      <c r="R76">
        <f>2024 - Table1[[#This Row],[YEAR]]</f>
        <v>3</v>
      </c>
    </row>
    <row r="77" spans="1:18" ht="15" x14ac:dyDescent="0.35">
      <c r="A77">
        <v>41</v>
      </c>
      <c r="B77" s="5">
        <v>1000</v>
      </c>
      <c r="C77">
        <v>2007</v>
      </c>
      <c r="D77">
        <v>72000</v>
      </c>
      <c r="E77" t="s">
        <v>9</v>
      </c>
      <c r="F77" t="s">
        <v>8</v>
      </c>
      <c r="G77" t="s">
        <v>23</v>
      </c>
      <c r="H77" s="1" t="s">
        <v>10</v>
      </c>
      <c r="I77">
        <v>3</v>
      </c>
      <c r="J77" t="s">
        <v>29</v>
      </c>
      <c r="K77" t="s">
        <v>36</v>
      </c>
      <c r="L77">
        <v>0.69808162645653316</v>
      </c>
      <c r="M77">
        <f t="shared" si="8"/>
        <v>1000</v>
      </c>
      <c r="N77">
        <v>1.4</v>
      </c>
      <c r="O77">
        <f t="shared" si="9"/>
        <v>1</v>
      </c>
      <c r="P77">
        <f t="shared" si="10"/>
        <v>0</v>
      </c>
      <c r="Q77">
        <f t="shared" si="11"/>
        <v>1</v>
      </c>
      <c r="R77">
        <f>2024 - Table1[[#This Row],[YEAR]]</f>
        <v>17</v>
      </c>
    </row>
    <row r="78" spans="1:18" ht="15" x14ac:dyDescent="0.35">
      <c r="A78">
        <v>27</v>
      </c>
      <c r="B78" s="5">
        <v>1689</v>
      </c>
      <c r="C78">
        <v>2009</v>
      </c>
      <c r="D78">
        <v>10700</v>
      </c>
      <c r="E78" t="s">
        <v>25</v>
      </c>
      <c r="F78" t="s">
        <v>8</v>
      </c>
      <c r="G78" t="s">
        <v>23</v>
      </c>
      <c r="H78" s="1" t="s">
        <v>10</v>
      </c>
      <c r="I78">
        <v>5</v>
      </c>
      <c r="J78" t="s">
        <v>26</v>
      </c>
      <c r="K78" t="s">
        <v>24</v>
      </c>
      <c r="L78">
        <v>0.69832528505895219</v>
      </c>
      <c r="M78">
        <f t="shared" si="8"/>
        <v>1689</v>
      </c>
      <c r="N78">
        <v>1.4</v>
      </c>
      <c r="O78">
        <f t="shared" si="9"/>
        <v>0</v>
      </c>
      <c r="P78">
        <f t="shared" si="10"/>
        <v>1</v>
      </c>
      <c r="Q78">
        <f t="shared" si="11"/>
        <v>1</v>
      </c>
      <c r="R78">
        <f>2024 - Table1[[#This Row],[YEAR]]</f>
        <v>15</v>
      </c>
    </row>
    <row r="79" spans="1:18" ht="15" x14ac:dyDescent="0.35">
      <c r="A79">
        <v>82</v>
      </c>
      <c r="B79" s="5">
        <v>10000</v>
      </c>
      <c r="C79">
        <v>2022</v>
      </c>
      <c r="D79">
        <v>46180</v>
      </c>
      <c r="E79" t="s">
        <v>9</v>
      </c>
      <c r="F79" t="s">
        <v>8</v>
      </c>
      <c r="G79" t="s">
        <v>35</v>
      </c>
      <c r="H79" s="1" t="s">
        <v>10</v>
      </c>
      <c r="I79">
        <v>5</v>
      </c>
      <c r="J79" t="s">
        <v>29</v>
      </c>
      <c r="K79" t="s">
        <v>21</v>
      </c>
      <c r="L79">
        <v>0.76045625947033912</v>
      </c>
      <c r="M79">
        <f t="shared" si="8"/>
        <v>10000</v>
      </c>
      <c r="N79">
        <v>1.1000000000000001</v>
      </c>
      <c r="O79">
        <f t="shared" si="9"/>
        <v>1</v>
      </c>
      <c r="P79">
        <f t="shared" si="10"/>
        <v>0</v>
      </c>
      <c r="Q79">
        <f t="shared" si="11"/>
        <v>1</v>
      </c>
      <c r="R79">
        <f>2024 - Table1[[#This Row],[YEAR]]</f>
        <v>2</v>
      </c>
    </row>
    <row r="80" spans="1:18" ht="15" x14ac:dyDescent="0.35">
      <c r="A80">
        <v>43</v>
      </c>
      <c r="B80" s="5">
        <v>4995</v>
      </c>
      <c r="C80">
        <v>2018</v>
      </c>
      <c r="D80">
        <v>73461</v>
      </c>
      <c r="E80" t="s">
        <v>38</v>
      </c>
      <c r="F80" t="s">
        <v>8</v>
      </c>
      <c r="G80" t="s">
        <v>19</v>
      </c>
      <c r="H80" s="1" t="s">
        <v>10</v>
      </c>
      <c r="I80">
        <v>3</v>
      </c>
      <c r="J80" t="s">
        <v>29</v>
      </c>
      <c r="K80" t="s">
        <v>21</v>
      </c>
      <c r="L80">
        <v>0.78143396523639197</v>
      </c>
      <c r="M80">
        <f t="shared" si="8"/>
        <v>4995</v>
      </c>
      <c r="N80">
        <v>1</v>
      </c>
      <c r="O80">
        <f t="shared" si="9"/>
        <v>0</v>
      </c>
      <c r="P80">
        <f t="shared" si="10"/>
        <v>0</v>
      </c>
      <c r="Q80">
        <f t="shared" si="11"/>
        <v>1</v>
      </c>
      <c r="R80">
        <f>2024 - Table1[[#This Row],[YEAR]]</f>
        <v>6</v>
      </c>
    </row>
    <row r="81" spans="1:18" ht="15" x14ac:dyDescent="0.35">
      <c r="A81">
        <v>38</v>
      </c>
      <c r="B81" s="5">
        <v>4350</v>
      </c>
      <c r="C81">
        <v>2018</v>
      </c>
      <c r="D81">
        <v>93400</v>
      </c>
      <c r="E81" t="s">
        <v>9</v>
      </c>
      <c r="F81" t="s">
        <v>8</v>
      </c>
      <c r="G81" t="s">
        <v>19</v>
      </c>
      <c r="H81" s="1" t="s">
        <v>10</v>
      </c>
      <c r="I81">
        <v>3</v>
      </c>
      <c r="J81" t="s">
        <v>13</v>
      </c>
      <c r="K81" t="s">
        <v>21</v>
      </c>
      <c r="L81">
        <v>0.78407044597966447</v>
      </c>
      <c r="M81">
        <f t="shared" si="8"/>
        <v>4350</v>
      </c>
      <c r="N81">
        <v>1</v>
      </c>
      <c r="O81">
        <f t="shared" si="9"/>
        <v>1</v>
      </c>
      <c r="P81">
        <f t="shared" si="10"/>
        <v>0</v>
      </c>
      <c r="Q81">
        <f t="shared" si="11"/>
        <v>1</v>
      </c>
      <c r="R81">
        <f>2024 - Table1[[#This Row],[YEAR]]</f>
        <v>6</v>
      </c>
    </row>
    <row r="82" spans="1:18" ht="15" x14ac:dyDescent="0.35">
      <c r="A82">
        <v>77</v>
      </c>
      <c r="B82" s="5">
        <v>4395</v>
      </c>
      <c r="C82">
        <v>2012</v>
      </c>
      <c r="D82">
        <v>58200</v>
      </c>
      <c r="E82" t="s">
        <v>9</v>
      </c>
      <c r="F82" t="s">
        <v>8</v>
      </c>
      <c r="G82" t="s">
        <v>23</v>
      </c>
      <c r="H82" s="1" t="s">
        <v>10</v>
      </c>
      <c r="I82">
        <v>5</v>
      </c>
      <c r="J82" t="s">
        <v>22</v>
      </c>
      <c r="K82" t="s">
        <v>42</v>
      </c>
      <c r="L82">
        <v>0.80809972014239484</v>
      </c>
      <c r="M82">
        <f t="shared" si="8"/>
        <v>4395</v>
      </c>
      <c r="N82">
        <v>1.4</v>
      </c>
      <c r="O82">
        <f t="shared" si="9"/>
        <v>1</v>
      </c>
      <c r="P82">
        <f t="shared" si="10"/>
        <v>0</v>
      </c>
      <c r="Q82">
        <f t="shared" si="11"/>
        <v>1</v>
      </c>
      <c r="R82">
        <f>2024 - Table1[[#This Row],[YEAR]]</f>
        <v>12</v>
      </c>
    </row>
    <row r="83" spans="1:18" ht="15" x14ac:dyDescent="0.35">
      <c r="A83">
        <v>50</v>
      </c>
      <c r="B83" s="5">
        <v>2350</v>
      </c>
      <c r="C83">
        <v>2015</v>
      </c>
      <c r="D83">
        <v>106800</v>
      </c>
      <c r="E83" t="s">
        <v>9</v>
      </c>
      <c r="F83" t="s">
        <v>8</v>
      </c>
      <c r="G83" t="s">
        <v>11</v>
      </c>
      <c r="H83" s="1" t="s">
        <v>10</v>
      </c>
      <c r="I83">
        <v>3</v>
      </c>
      <c r="J83" t="s">
        <v>29</v>
      </c>
      <c r="K83" t="s">
        <v>24</v>
      </c>
      <c r="L83">
        <v>0.81189598677592001</v>
      </c>
      <c r="M83">
        <f t="shared" si="8"/>
        <v>2350</v>
      </c>
      <c r="N83">
        <v>1.3</v>
      </c>
      <c r="O83">
        <f t="shared" si="9"/>
        <v>1</v>
      </c>
      <c r="P83">
        <f t="shared" si="10"/>
        <v>0</v>
      </c>
      <c r="Q83">
        <f t="shared" si="11"/>
        <v>1</v>
      </c>
      <c r="R83">
        <f>2024 - Table1[[#This Row],[YEAR]]</f>
        <v>9</v>
      </c>
    </row>
    <row r="84" spans="1:18" ht="15" x14ac:dyDescent="0.35">
      <c r="A84">
        <v>95</v>
      </c>
      <c r="B84" s="5">
        <v>13490</v>
      </c>
      <c r="C84">
        <v>2022</v>
      </c>
      <c r="D84">
        <v>9875</v>
      </c>
      <c r="E84" t="s">
        <v>9</v>
      </c>
      <c r="F84" t="s">
        <v>8</v>
      </c>
      <c r="G84" t="s">
        <v>19</v>
      </c>
      <c r="H84" s="1" t="s">
        <v>10</v>
      </c>
      <c r="I84">
        <v>5</v>
      </c>
      <c r="J84" t="s">
        <v>15</v>
      </c>
      <c r="K84" t="s">
        <v>30</v>
      </c>
      <c r="L84">
        <v>0.82366267972109641</v>
      </c>
      <c r="M84">
        <f t="shared" si="8"/>
        <v>13490</v>
      </c>
      <c r="N84">
        <v>1</v>
      </c>
      <c r="O84">
        <f t="shared" si="9"/>
        <v>1</v>
      </c>
      <c r="P84">
        <f t="shared" si="10"/>
        <v>0</v>
      </c>
      <c r="Q84">
        <f t="shared" si="11"/>
        <v>1</v>
      </c>
      <c r="R84">
        <f>2024 - Table1[[#This Row],[YEAR]]</f>
        <v>2</v>
      </c>
    </row>
    <row r="85" spans="1:18" ht="15" x14ac:dyDescent="0.35">
      <c r="A85">
        <v>29</v>
      </c>
      <c r="B85" s="5">
        <v>1590</v>
      </c>
      <c r="C85">
        <v>2011</v>
      </c>
      <c r="D85">
        <v>112000</v>
      </c>
      <c r="E85" t="s">
        <v>9</v>
      </c>
      <c r="F85" t="s">
        <v>8</v>
      </c>
      <c r="G85" t="s">
        <v>11</v>
      </c>
      <c r="H85" s="1" t="s">
        <v>10</v>
      </c>
      <c r="I85">
        <v>3</v>
      </c>
      <c r="J85" t="s">
        <v>32</v>
      </c>
      <c r="K85" t="s">
        <v>24</v>
      </c>
      <c r="L85">
        <v>0.8282901558761907</v>
      </c>
      <c r="M85">
        <f t="shared" si="8"/>
        <v>1590</v>
      </c>
      <c r="N85">
        <v>1.3</v>
      </c>
      <c r="O85">
        <f t="shared" si="9"/>
        <v>1</v>
      </c>
      <c r="P85">
        <f t="shared" si="10"/>
        <v>0</v>
      </c>
      <c r="Q85">
        <f t="shared" si="11"/>
        <v>1</v>
      </c>
      <c r="R85">
        <f>2024 - Table1[[#This Row],[YEAR]]</f>
        <v>13</v>
      </c>
    </row>
    <row r="86" spans="1:18" ht="15" x14ac:dyDescent="0.35">
      <c r="A86">
        <v>31</v>
      </c>
      <c r="B86" s="5">
        <v>14784</v>
      </c>
      <c r="C86">
        <v>2024</v>
      </c>
      <c r="D86">
        <v>7104</v>
      </c>
      <c r="E86" t="s">
        <v>9</v>
      </c>
      <c r="F86" t="s">
        <v>8</v>
      </c>
      <c r="G86" t="s">
        <v>19</v>
      </c>
      <c r="H86" s="1" t="s">
        <v>10</v>
      </c>
      <c r="I86">
        <v>5</v>
      </c>
      <c r="J86" t="s">
        <v>22</v>
      </c>
      <c r="K86" t="s">
        <v>21</v>
      </c>
      <c r="L86">
        <v>0.83083809152409327</v>
      </c>
      <c r="M86">
        <f t="shared" si="8"/>
        <v>14784</v>
      </c>
      <c r="N86">
        <v>1</v>
      </c>
      <c r="O86">
        <f t="shared" si="9"/>
        <v>1</v>
      </c>
      <c r="P86">
        <f t="shared" si="10"/>
        <v>0</v>
      </c>
      <c r="Q86">
        <f t="shared" si="11"/>
        <v>1</v>
      </c>
      <c r="R86">
        <f>2024 - Table1[[#This Row],[YEAR]]</f>
        <v>0</v>
      </c>
    </row>
    <row r="87" spans="1:18" ht="15" x14ac:dyDescent="0.35">
      <c r="A87">
        <v>79</v>
      </c>
      <c r="B87" s="5">
        <v>2495</v>
      </c>
      <c r="C87">
        <v>2015</v>
      </c>
      <c r="D87">
        <v>117000</v>
      </c>
      <c r="E87" t="s">
        <v>9</v>
      </c>
      <c r="F87" t="s">
        <v>8</v>
      </c>
      <c r="G87" t="s">
        <v>19</v>
      </c>
      <c r="H87" s="1" t="s">
        <v>10</v>
      </c>
      <c r="I87">
        <v>3</v>
      </c>
      <c r="J87" t="s">
        <v>32</v>
      </c>
      <c r="K87" t="s">
        <v>21</v>
      </c>
      <c r="L87">
        <v>0.83290033069058234</v>
      </c>
      <c r="M87">
        <f t="shared" si="8"/>
        <v>2495</v>
      </c>
      <c r="N87">
        <v>1</v>
      </c>
      <c r="O87">
        <f t="shared" si="9"/>
        <v>1</v>
      </c>
      <c r="P87">
        <f t="shared" si="10"/>
        <v>0</v>
      </c>
      <c r="Q87">
        <f t="shared" si="11"/>
        <v>1</v>
      </c>
      <c r="R87">
        <f>2024 - Table1[[#This Row],[YEAR]]</f>
        <v>9</v>
      </c>
    </row>
    <row r="88" spans="1:18" ht="15" x14ac:dyDescent="0.35">
      <c r="A88">
        <v>55</v>
      </c>
      <c r="B88" s="5">
        <v>5989</v>
      </c>
      <c r="C88">
        <v>2019</v>
      </c>
      <c r="D88">
        <v>221000</v>
      </c>
      <c r="E88" t="s">
        <v>9</v>
      </c>
      <c r="F88" t="s">
        <v>8</v>
      </c>
      <c r="G88" t="s">
        <v>35</v>
      </c>
      <c r="H88" s="1" t="s">
        <v>10</v>
      </c>
      <c r="I88">
        <v>5</v>
      </c>
      <c r="J88" t="s">
        <v>29</v>
      </c>
      <c r="K88" t="s">
        <v>21</v>
      </c>
      <c r="L88">
        <v>0.86285154749825921</v>
      </c>
      <c r="M88">
        <f t="shared" si="8"/>
        <v>5989</v>
      </c>
      <c r="N88">
        <v>1.1000000000000001</v>
      </c>
      <c r="O88">
        <f t="shared" si="9"/>
        <v>1</v>
      </c>
      <c r="P88">
        <f t="shared" si="10"/>
        <v>0</v>
      </c>
      <c r="Q88">
        <f t="shared" si="11"/>
        <v>1</v>
      </c>
      <c r="R88">
        <f>2024 - Table1[[#This Row],[YEAR]]</f>
        <v>5</v>
      </c>
    </row>
    <row r="89" spans="1:18" ht="15" x14ac:dyDescent="0.35">
      <c r="A89">
        <v>33</v>
      </c>
      <c r="B89" s="5">
        <v>5000</v>
      </c>
      <c r="C89">
        <v>2004</v>
      </c>
      <c r="D89">
        <v>44000</v>
      </c>
      <c r="E89" t="s">
        <v>34</v>
      </c>
      <c r="F89" t="s">
        <v>8</v>
      </c>
      <c r="G89" t="s">
        <v>19</v>
      </c>
      <c r="H89" s="1" t="s">
        <v>10</v>
      </c>
      <c r="I89">
        <v>3</v>
      </c>
      <c r="J89" t="s">
        <v>22</v>
      </c>
      <c r="K89" t="s">
        <v>24</v>
      </c>
      <c r="L89">
        <v>0.87574465691771619</v>
      </c>
      <c r="M89">
        <f t="shared" si="8"/>
        <v>5000</v>
      </c>
      <c r="N89">
        <v>1</v>
      </c>
      <c r="O89">
        <f t="shared" si="9"/>
        <v>0</v>
      </c>
      <c r="P89">
        <f t="shared" si="10"/>
        <v>0</v>
      </c>
      <c r="Q89">
        <f t="shared" si="11"/>
        <v>1</v>
      </c>
      <c r="R89">
        <f>2024 - Table1[[#This Row],[YEAR]]</f>
        <v>20</v>
      </c>
    </row>
    <row r="90" spans="1:18" ht="15" x14ac:dyDescent="0.35">
      <c r="A90">
        <v>5</v>
      </c>
      <c r="B90" s="5">
        <v>790</v>
      </c>
      <c r="C90">
        <v>2004</v>
      </c>
      <c r="D90">
        <v>86000</v>
      </c>
      <c r="E90" t="s">
        <v>9</v>
      </c>
      <c r="F90" t="s">
        <v>8</v>
      </c>
      <c r="G90" t="s">
        <v>11</v>
      </c>
      <c r="H90" s="1" t="s">
        <v>10</v>
      </c>
      <c r="I90">
        <v>5</v>
      </c>
      <c r="J90" t="s">
        <v>22</v>
      </c>
      <c r="K90" t="s">
        <v>18</v>
      </c>
      <c r="L90">
        <v>0.91148381014022606</v>
      </c>
      <c r="M90">
        <f t="shared" si="8"/>
        <v>790</v>
      </c>
      <c r="N90">
        <v>1.3</v>
      </c>
      <c r="O90">
        <f t="shared" si="9"/>
        <v>1</v>
      </c>
      <c r="P90">
        <f t="shared" si="10"/>
        <v>0</v>
      </c>
      <c r="Q90">
        <f t="shared" si="11"/>
        <v>1</v>
      </c>
      <c r="R90">
        <f>2024 - Table1[[#This Row],[YEAR]]</f>
        <v>20</v>
      </c>
    </row>
    <row r="91" spans="1:18" x14ac:dyDescent="0.3">
      <c r="A91">
        <v>51</v>
      </c>
      <c r="B91" s="5">
        <v>2500</v>
      </c>
      <c r="C91">
        <v>2015</v>
      </c>
      <c r="D91">
        <v>114000</v>
      </c>
      <c r="E91" t="s">
        <v>9</v>
      </c>
      <c r="F91" t="s">
        <v>8</v>
      </c>
      <c r="G91" t="s">
        <v>19</v>
      </c>
      <c r="H91" t="s">
        <v>10</v>
      </c>
      <c r="I91">
        <v>3</v>
      </c>
      <c r="J91" t="s">
        <v>39</v>
      </c>
      <c r="K91" t="s">
        <v>21</v>
      </c>
      <c r="L91">
        <v>0.93144197581192101</v>
      </c>
      <c r="M91">
        <f t="shared" si="8"/>
        <v>2500</v>
      </c>
      <c r="N91">
        <v>1</v>
      </c>
      <c r="O91">
        <f t="shared" si="9"/>
        <v>1</v>
      </c>
      <c r="P91">
        <f t="shared" si="10"/>
        <v>0</v>
      </c>
      <c r="Q91">
        <f t="shared" si="11"/>
        <v>1</v>
      </c>
      <c r="R91">
        <f>2024 - Table1[[#This Row],[YEAR]]</f>
        <v>9</v>
      </c>
    </row>
    <row r="92" spans="1:18" ht="15" x14ac:dyDescent="0.35">
      <c r="A92">
        <v>14</v>
      </c>
      <c r="B92" s="5">
        <v>20499</v>
      </c>
      <c r="C92">
        <v>2024</v>
      </c>
      <c r="D92">
        <v>12205</v>
      </c>
      <c r="E92" t="s">
        <v>27</v>
      </c>
      <c r="F92" t="s">
        <v>28</v>
      </c>
      <c r="G92" t="s">
        <v>31</v>
      </c>
      <c r="H92" s="1" t="s">
        <v>10</v>
      </c>
      <c r="I92">
        <v>5</v>
      </c>
      <c r="J92" t="s">
        <v>32</v>
      </c>
      <c r="K92" t="s">
        <v>21</v>
      </c>
      <c r="L92">
        <v>0.93174909572517706</v>
      </c>
      <c r="M92">
        <f t="shared" si="8"/>
        <v>20499</v>
      </c>
      <c r="N92">
        <v>1</v>
      </c>
      <c r="O92">
        <f t="shared" si="9"/>
        <v>0</v>
      </c>
      <c r="P92">
        <f t="shared" si="10"/>
        <v>0</v>
      </c>
      <c r="Q92">
        <f t="shared" si="11"/>
        <v>0</v>
      </c>
      <c r="R92">
        <f>2024 - Table1[[#This Row],[YEAR]]</f>
        <v>0</v>
      </c>
    </row>
    <row r="93" spans="1:18" ht="15" x14ac:dyDescent="0.35">
      <c r="A93">
        <v>24</v>
      </c>
      <c r="B93" s="5">
        <v>1255</v>
      </c>
      <c r="C93">
        <v>2012</v>
      </c>
      <c r="D93">
        <v>113000</v>
      </c>
      <c r="E93" t="s">
        <v>9</v>
      </c>
      <c r="F93" t="s">
        <v>8</v>
      </c>
      <c r="G93" t="s">
        <v>23</v>
      </c>
      <c r="H93" s="1" t="s">
        <v>10</v>
      </c>
      <c r="I93">
        <v>3</v>
      </c>
      <c r="J93" t="s">
        <v>22</v>
      </c>
      <c r="K93" t="s">
        <v>24</v>
      </c>
      <c r="L93">
        <v>0.93364523804429334</v>
      </c>
      <c r="M93">
        <f t="shared" si="8"/>
        <v>1255</v>
      </c>
      <c r="N93">
        <v>1.4</v>
      </c>
      <c r="O93">
        <f t="shared" si="9"/>
        <v>1</v>
      </c>
      <c r="P93">
        <f t="shared" si="10"/>
        <v>0</v>
      </c>
      <c r="Q93">
        <f t="shared" si="11"/>
        <v>1</v>
      </c>
      <c r="R93">
        <f>2024 - Table1[[#This Row],[YEAR]]</f>
        <v>12</v>
      </c>
    </row>
    <row r="94" spans="1:18" ht="15" x14ac:dyDescent="0.35">
      <c r="A94">
        <v>46</v>
      </c>
      <c r="B94" s="5">
        <v>1799</v>
      </c>
      <c r="C94">
        <v>2010</v>
      </c>
      <c r="D94">
        <v>98000</v>
      </c>
      <c r="E94" t="s">
        <v>38</v>
      </c>
      <c r="F94" t="s">
        <v>8</v>
      </c>
      <c r="G94" t="s">
        <v>37</v>
      </c>
      <c r="H94" s="1" t="s">
        <v>10</v>
      </c>
      <c r="I94">
        <v>5</v>
      </c>
      <c r="J94" t="s">
        <v>32</v>
      </c>
      <c r="K94" t="s">
        <v>24</v>
      </c>
      <c r="L94">
        <v>0.93472170919924957</v>
      </c>
      <c r="M94">
        <f t="shared" si="8"/>
        <v>1799</v>
      </c>
      <c r="N94">
        <v>1.6</v>
      </c>
      <c r="O94">
        <f t="shared" si="9"/>
        <v>0</v>
      </c>
      <c r="P94">
        <f t="shared" si="10"/>
        <v>0</v>
      </c>
      <c r="Q94">
        <f t="shared" si="11"/>
        <v>1</v>
      </c>
      <c r="R94">
        <f>2024 - Table1[[#This Row],[YEAR]]</f>
        <v>14</v>
      </c>
    </row>
    <row r="95" spans="1:18" ht="15" x14ac:dyDescent="0.35">
      <c r="A95">
        <v>68</v>
      </c>
      <c r="B95" s="5">
        <v>1799</v>
      </c>
      <c r="C95">
        <v>2010</v>
      </c>
      <c r="D95">
        <v>98000</v>
      </c>
      <c r="E95" t="s">
        <v>9</v>
      </c>
      <c r="F95" t="s">
        <v>8</v>
      </c>
      <c r="G95" t="s">
        <v>37</v>
      </c>
      <c r="H95" s="1" t="s">
        <v>10</v>
      </c>
      <c r="I95">
        <v>3</v>
      </c>
      <c r="J95" t="s">
        <v>32</v>
      </c>
      <c r="K95" t="s">
        <v>24</v>
      </c>
      <c r="L95">
        <v>0.93953666096587474</v>
      </c>
      <c r="M95">
        <f t="shared" si="8"/>
        <v>1799</v>
      </c>
      <c r="N95">
        <v>1.6</v>
      </c>
      <c r="O95">
        <f t="shared" si="9"/>
        <v>1</v>
      </c>
      <c r="P95">
        <f t="shared" si="10"/>
        <v>0</v>
      </c>
      <c r="Q95">
        <f t="shared" si="11"/>
        <v>1</v>
      </c>
      <c r="R95">
        <f>2024 - Table1[[#This Row],[YEAR]]</f>
        <v>14</v>
      </c>
    </row>
    <row r="96" spans="1:18" ht="15" x14ac:dyDescent="0.35">
      <c r="A96">
        <v>3</v>
      </c>
      <c r="B96" s="5">
        <v>1595</v>
      </c>
      <c r="C96">
        <v>2009</v>
      </c>
      <c r="D96">
        <v>97000</v>
      </c>
      <c r="E96" t="s">
        <v>9</v>
      </c>
      <c r="F96" t="s">
        <v>8</v>
      </c>
      <c r="G96" t="s">
        <v>11</v>
      </c>
      <c r="H96" s="1" t="s">
        <v>10</v>
      </c>
      <c r="I96">
        <v>5</v>
      </c>
      <c r="J96" t="s">
        <v>16</v>
      </c>
      <c r="K96" t="s">
        <v>18</v>
      </c>
      <c r="L96">
        <v>0.94048856569976258</v>
      </c>
      <c r="M96">
        <f t="shared" si="8"/>
        <v>1595</v>
      </c>
      <c r="N96">
        <v>1.3</v>
      </c>
      <c r="O96">
        <f t="shared" si="9"/>
        <v>1</v>
      </c>
      <c r="P96">
        <f t="shared" si="10"/>
        <v>0</v>
      </c>
      <c r="Q96">
        <f t="shared" si="11"/>
        <v>1</v>
      </c>
      <c r="R96">
        <f>2024 - Table1[[#This Row],[YEAR]]</f>
        <v>15</v>
      </c>
    </row>
    <row r="97" spans="1:18" ht="15" x14ac:dyDescent="0.35">
      <c r="A97">
        <v>60</v>
      </c>
      <c r="B97" s="5">
        <v>11844</v>
      </c>
      <c r="C97">
        <v>2022</v>
      </c>
      <c r="D97">
        <v>14099</v>
      </c>
      <c r="E97" t="s">
        <v>9</v>
      </c>
      <c r="F97" t="s">
        <v>8</v>
      </c>
      <c r="G97" t="s">
        <v>35</v>
      </c>
      <c r="H97" s="1" t="s">
        <v>10</v>
      </c>
      <c r="I97">
        <v>5</v>
      </c>
      <c r="J97" t="s">
        <v>29</v>
      </c>
      <c r="K97" t="s">
        <v>21</v>
      </c>
      <c r="L97">
        <v>0.96113240949240175</v>
      </c>
      <c r="M97">
        <f t="shared" si="8"/>
        <v>11844</v>
      </c>
      <c r="N97">
        <v>1.1000000000000001</v>
      </c>
      <c r="O97">
        <f t="shared" si="9"/>
        <v>1</v>
      </c>
      <c r="P97">
        <f t="shared" si="10"/>
        <v>0</v>
      </c>
      <c r="Q97">
        <f t="shared" si="11"/>
        <v>1</v>
      </c>
      <c r="R97">
        <f>2024 - Table1[[#This Row],[YEAR]]</f>
        <v>2</v>
      </c>
    </row>
    <row r="98" spans="1:18" ht="15" x14ac:dyDescent="0.35">
      <c r="A98">
        <v>87</v>
      </c>
      <c r="B98" s="5">
        <v>9998</v>
      </c>
      <c r="C98">
        <v>2019</v>
      </c>
      <c r="D98">
        <v>37626</v>
      </c>
      <c r="E98" t="s">
        <v>9</v>
      </c>
      <c r="F98" t="s">
        <v>8</v>
      </c>
      <c r="G98" t="s">
        <v>19</v>
      </c>
      <c r="H98" s="1" t="s">
        <v>10</v>
      </c>
      <c r="I98">
        <v>5</v>
      </c>
      <c r="J98" t="s">
        <v>29</v>
      </c>
      <c r="K98" t="s">
        <v>21</v>
      </c>
      <c r="L98">
        <v>0.98134119655486396</v>
      </c>
      <c r="M98">
        <f t="shared" si="8"/>
        <v>9998</v>
      </c>
      <c r="N98">
        <v>1</v>
      </c>
      <c r="O98">
        <f t="shared" si="9"/>
        <v>1</v>
      </c>
      <c r="P98">
        <f t="shared" si="10"/>
        <v>0</v>
      </c>
      <c r="Q98">
        <f t="shared" si="11"/>
        <v>1</v>
      </c>
      <c r="R98">
        <f>2024 - Table1[[#This Row],[YEAR]]</f>
        <v>5</v>
      </c>
    </row>
    <row r="99" spans="1:18" ht="15" x14ac:dyDescent="0.35">
      <c r="A99">
        <v>72</v>
      </c>
      <c r="B99" s="5">
        <v>2995</v>
      </c>
      <c r="C99">
        <v>2016</v>
      </c>
      <c r="D99">
        <v>107932</v>
      </c>
      <c r="E99" t="s">
        <v>9</v>
      </c>
      <c r="F99" t="s">
        <v>8</v>
      </c>
      <c r="G99" t="s">
        <v>19</v>
      </c>
      <c r="H99" s="1" t="s">
        <v>10</v>
      </c>
      <c r="I99">
        <v>5</v>
      </c>
      <c r="J99" t="s">
        <v>13</v>
      </c>
      <c r="K99" t="s">
        <v>21</v>
      </c>
      <c r="L99">
        <v>0.9854130513891487</v>
      </c>
      <c r="M99">
        <f t="shared" si="8"/>
        <v>2995</v>
      </c>
      <c r="N99">
        <v>1</v>
      </c>
      <c r="O99">
        <f t="shared" si="9"/>
        <v>1</v>
      </c>
      <c r="P99">
        <f t="shared" si="10"/>
        <v>0</v>
      </c>
      <c r="Q99">
        <f t="shared" si="11"/>
        <v>1</v>
      </c>
      <c r="R99">
        <f>2024 - Table1[[#This Row],[YEAR]]</f>
        <v>8</v>
      </c>
    </row>
    <row r="100" spans="1:18" ht="15" x14ac:dyDescent="0.35">
      <c r="A100">
        <v>40</v>
      </c>
      <c r="B100" s="5">
        <v>1995</v>
      </c>
      <c r="C100">
        <v>2010</v>
      </c>
      <c r="D100">
        <v>123000</v>
      </c>
      <c r="E100" t="s">
        <v>34</v>
      </c>
      <c r="F100" t="s">
        <v>8</v>
      </c>
      <c r="G100" t="s">
        <v>37</v>
      </c>
      <c r="H100" s="1" t="s">
        <v>10</v>
      </c>
      <c r="I100">
        <v>3</v>
      </c>
      <c r="J100" t="s">
        <v>22</v>
      </c>
      <c r="K100" t="s">
        <v>36</v>
      </c>
      <c r="L100">
        <v>0.98797495710385264</v>
      </c>
      <c r="M100">
        <f t="shared" si="8"/>
        <v>1995</v>
      </c>
      <c r="N100">
        <v>1.6</v>
      </c>
      <c r="O100">
        <f t="shared" si="9"/>
        <v>0</v>
      </c>
      <c r="P100">
        <f t="shared" si="10"/>
        <v>0</v>
      </c>
      <c r="Q100">
        <f t="shared" si="11"/>
        <v>1</v>
      </c>
      <c r="R100">
        <f>2024 - Table1[[#This Row],[YEAR]]</f>
        <v>14</v>
      </c>
    </row>
    <row r="101" spans="1:18" ht="15" x14ac:dyDescent="0.35">
      <c r="A101">
        <v>11</v>
      </c>
      <c r="B101" s="5">
        <v>15999</v>
      </c>
      <c r="C101">
        <v>2023</v>
      </c>
      <c r="D101">
        <v>17869</v>
      </c>
      <c r="E101" t="s">
        <v>27</v>
      </c>
      <c r="F101" t="s">
        <v>28</v>
      </c>
      <c r="G101" t="s">
        <v>19</v>
      </c>
      <c r="H101" s="1" t="s">
        <v>10</v>
      </c>
      <c r="I101">
        <v>5</v>
      </c>
      <c r="J101" t="s">
        <v>29</v>
      </c>
      <c r="K101" t="s">
        <v>21</v>
      </c>
      <c r="L101">
        <v>0.99305413270073328</v>
      </c>
      <c r="M101">
        <f t="shared" si="8"/>
        <v>15999</v>
      </c>
      <c r="N101">
        <v>1.6</v>
      </c>
      <c r="O101">
        <f t="shared" si="9"/>
        <v>0</v>
      </c>
      <c r="P101">
        <f t="shared" si="10"/>
        <v>0</v>
      </c>
      <c r="Q101">
        <f t="shared" si="11"/>
        <v>0</v>
      </c>
      <c r="R101">
        <f>2024 - Table1[[#This Row],[YEAR]]</f>
        <v>1</v>
      </c>
    </row>
  </sheetData>
  <phoneticPr fontId="2" type="noConversion"/>
  <dataValidations count="2">
    <dataValidation type="list" showInputMessage="1" showErrorMessage="1" sqref="AE35" xr:uid="{4943B692-D8A6-40AA-BF71-16AF5EF3B5B4}">
      <formula1>"Manual,Automatic"</formula1>
    </dataValidation>
    <dataValidation type="list" showInputMessage="1" showErrorMessage="1" sqref="AE34" xr:uid="{E67187FF-2DF0-4316-931F-D7AE6A89B534}">
      <formula1>"Petrol,Diesel,Petrol Hybrid"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A7A-B46C-411B-BA1E-A9ED01CEAD7B}">
  <dimension ref="A1:AN145"/>
  <sheetViews>
    <sheetView zoomScale="61" zoomScaleNormal="85" workbookViewId="0">
      <selection activeCell="Y23" sqref="Y23"/>
    </sheetView>
  </sheetViews>
  <sheetFormatPr defaultRowHeight="14.4" x14ac:dyDescent="0.3"/>
  <cols>
    <col min="2" max="2" width="12" style="16" bestFit="1" customWidth="1"/>
    <col min="4" max="4" width="10.77734375" customWidth="1"/>
    <col min="5" max="5" width="11.88671875" style="19" customWidth="1"/>
    <col min="6" max="6" width="16.33203125" customWidth="1"/>
    <col min="7" max="7" width="13.77734375" customWidth="1"/>
    <col min="8" max="8" width="13.21875" customWidth="1"/>
    <col min="10" max="10" width="10.44140625" customWidth="1"/>
    <col min="11" max="11" width="18.21875" customWidth="1"/>
    <col min="12" max="12" width="9.5546875" customWidth="1"/>
    <col min="15" max="15" width="10.33203125" customWidth="1"/>
    <col min="16" max="16" width="20.33203125" customWidth="1"/>
    <col min="17" max="17" width="13.5546875" bestFit="1" customWidth="1"/>
    <col min="18" max="18" width="14.33203125" bestFit="1" customWidth="1"/>
    <col min="19" max="19" width="15.88671875" bestFit="1" customWidth="1"/>
    <col min="20" max="20" width="15.44140625" bestFit="1" customWidth="1"/>
    <col min="21" max="21" width="20.21875" bestFit="1" customWidth="1"/>
    <col min="22" max="22" width="12.109375" bestFit="1" customWidth="1"/>
    <col min="23" max="23" width="15.88671875" bestFit="1" customWidth="1"/>
    <col min="24" max="24" width="20.21875" bestFit="1" customWidth="1"/>
    <col min="25" max="25" width="13.88671875" bestFit="1" customWidth="1"/>
    <col min="26" max="26" width="19.44140625" bestFit="1" customWidth="1"/>
    <col min="27" max="27" width="10.5546875" bestFit="1" customWidth="1"/>
    <col min="28" max="28" width="18.5546875" bestFit="1" customWidth="1"/>
    <col min="29" max="29" width="19" bestFit="1" customWidth="1"/>
    <col min="30" max="30" width="23.21875" bestFit="1" customWidth="1"/>
    <col min="31" max="31" width="22" bestFit="1" customWidth="1"/>
    <col min="32" max="32" width="31.33203125" customWidth="1"/>
    <col min="33" max="33" width="17.21875" bestFit="1" customWidth="1"/>
    <col min="34" max="34" width="19.5546875" bestFit="1" customWidth="1"/>
    <col min="35" max="62" width="10.5546875" bestFit="1" customWidth="1"/>
    <col min="63" max="80" width="11.6640625" bestFit="1" customWidth="1"/>
    <col min="81" max="81" width="11.88671875" bestFit="1" customWidth="1"/>
  </cols>
  <sheetData>
    <row r="1" spans="1:40" x14ac:dyDescent="0.3">
      <c r="A1" s="2" t="s">
        <v>0</v>
      </c>
      <c r="B1" s="12" t="s">
        <v>14</v>
      </c>
      <c r="C1" s="2" t="s">
        <v>1</v>
      </c>
      <c r="D1" s="2" t="s">
        <v>2</v>
      </c>
      <c r="E1" s="19" t="s">
        <v>51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</v>
      </c>
      <c r="K1" s="2" t="s">
        <v>17</v>
      </c>
      <c r="L1" s="2" t="s">
        <v>47</v>
      </c>
      <c r="M1" s="24" t="s">
        <v>73</v>
      </c>
      <c r="N1" s="26" t="s">
        <v>97</v>
      </c>
      <c r="O1" t="s">
        <v>103</v>
      </c>
      <c r="P1" t="s">
        <v>104</v>
      </c>
      <c r="Q1" t="s">
        <v>105</v>
      </c>
    </row>
    <row r="2" spans="1:40" ht="15" x14ac:dyDescent="0.35">
      <c r="A2" s="3">
        <v>42</v>
      </c>
      <c r="B2" s="13">
        <v>10899</v>
      </c>
      <c r="C2" s="3">
        <v>2022</v>
      </c>
      <c r="D2" s="3">
        <v>42573</v>
      </c>
      <c r="E2" t="s">
        <v>9</v>
      </c>
      <c r="F2" s="3" t="s">
        <v>8</v>
      </c>
      <c r="G2" s="3" t="s">
        <v>19</v>
      </c>
      <c r="H2" s="9" t="s">
        <v>10</v>
      </c>
      <c r="I2" s="3">
        <v>5</v>
      </c>
      <c r="J2" s="3" t="s">
        <v>22</v>
      </c>
      <c r="K2" s="3" t="s">
        <v>21</v>
      </c>
      <c r="L2" s="3">
        <v>1.1552081573701245E-2</v>
      </c>
      <c r="M2" s="22">
        <f>2024 - Table2[[#This Row],[YEAR]]</f>
        <v>2</v>
      </c>
      <c r="N2">
        <v>1</v>
      </c>
      <c r="O2">
        <f t="shared" ref="O2:O33" si="0">IF(E2="Petrol",1,0)</f>
        <v>1</v>
      </c>
      <c r="P2">
        <f t="shared" ref="P2:P33" si="1">IF(E2="Diesel",1,0)</f>
        <v>0</v>
      </c>
      <c r="Q2">
        <f t="shared" ref="Q2:Q33" si="2">IF(F2="Manual",1,0)</f>
        <v>1</v>
      </c>
    </row>
    <row r="3" spans="1:40" ht="15" x14ac:dyDescent="0.35">
      <c r="A3" s="4">
        <v>73</v>
      </c>
      <c r="B3" s="14">
        <v>1965</v>
      </c>
      <c r="C3" s="4">
        <v>2011</v>
      </c>
      <c r="D3" s="4">
        <v>96000</v>
      </c>
      <c r="E3" t="s">
        <v>9</v>
      </c>
      <c r="F3" s="4" t="s">
        <v>8</v>
      </c>
      <c r="G3" s="4" t="s">
        <v>11</v>
      </c>
      <c r="H3" s="10" t="s">
        <v>10</v>
      </c>
      <c r="I3" s="4">
        <v>5</v>
      </c>
      <c r="J3" s="4" t="s">
        <v>22</v>
      </c>
      <c r="K3" s="4" t="s">
        <v>24</v>
      </c>
      <c r="L3" s="4">
        <v>1.4177722061521014E-2</v>
      </c>
      <c r="M3" s="4">
        <f>2024 - Table2[[#This Row],[YEAR]]</f>
        <v>13</v>
      </c>
      <c r="N3">
        <v>1.3</v>
      </c>
      <c r="O3">
        <f t="shared" si="0"/>
        <v>1</v>
      </c>
      <c r="P3">
        <f t="shared" si="1"/>
        <v>0</v>
      </c>
      <c r="Q3">
        <f t="shared" si="2"/>
        <v>1</v>
      </c>
    </row>
    <row r="4" spans="1:40" ht="15" x14ac:dyDescent="0.35">
      <c r="A4" s="3">
        <v>53</v>
      </c>
      <c r="B4" s="13">
        <v>9952</v>
      </c>
      <c r="C4" s="3">
        <v>2017</v>
      </c>
      <c r="D4" s="3">
        <v>33800</v>
      </c>
      <c r="E4" t="s">
        <v>9</v>
      </c>
      <c r="F4" s="3" t="s">
        <v>28</v>
      </c>
      <c r="G4" s="3" t="s">
        <v>19</v>
      </c>
      <c r="H4" s="9" t="s">
        <v>10</v>
      </c>
      <c r="I4" s="3">
        <v>5</v>
      </c>
      <c r="J4" s="3" t="s">
        <v>22</v>
      </c>
      <c r="K4" s="3" t="s">
        <v>21</v>
      </c>
      <c r="L4" s="3">
        <v>6.0039178754221378E-2</v>
      </c>
      <c r="M4" s="4">
        <f>2024 - Table2[[#This Row],[YEAR]]</f>
        <v>7</v>
      </c>
      <c r="N4">
        <v>1.3</v>
      </c>
      <c r="O4">
        <f t="shared" si="0"/>
        <v>1</v>
      </c>
      <c r="P4">
        <f t="shared" si="1"/>
        <v>0</v>
      </c>
      <c r="Q4">
        <f t="shared" si="2"/>
        <v>0</v>
      </c>
      <c r="S4" s="17" t="s">
        <v>48</v>
      </c>
      <c r="T4" t="s">
        <v>88</v>
      </c>
    </row>
    <row r="5" spans="1:40" ht="15" x14ac:dyDescent="0.35">
      <c r="A5" s="4">
        <v>76</v>
      </c>
      <c r="B5" s="14">
        <v>3850</v>
      </c>
      <c r="C5" s="4">
        <v>2015</v>
      </c>
      <c r="D5" s="4">
        <v>95025</v>
      </c>
      <c r="E5" t="s">
        <v>9</v>
      </c>
      <c r="F5" s="4" t="s">
        <v>8</v>
      </c>
      <c r="G5" s="4" t="s">
        <v>19</v>
      </c>
      <c r="H5" s="10" t="s">
        <v>10</v>
      </c>
      <c r="I5" s="4">
        <v>3</v>
      </c>
      <c r="J5" s="4" t="s">
        <v>22</v>
      </c>
      <c r="K5" s="4" t="s">
        <v>21</v>
      </c>
      <c r="L5" s="4">
        <v>0.11425483651912482</v>
      </c>
      <c r="M5" s="4">
        <f>2024 - Table2[[#This Row],[YEAR]]</f>
        <v>9</v>
      </c>
      <c r="N5">
        <v>1.4</v>
      </c>
      <c r="O5">
        <f t="shared" si="0"/>
        <v>1</v>
      </c>
      <c r="P5">
        <f t="shared" si="1"/>
        <v>0</v>
      </c>
      <c r="Q5">
        <f t="shared" si="2"/>
        <v>1</v>
      </c>
      <c r="S5" s="18" t="s">
        <v>25</v>
      </c>
      <c r="T5">
        <v>4</v>
      </c>
    </row>
    <row r="6" spans="1:40" ht="15" x14ac:dyDescent="0.35">
      <c r="A6" s="4">
        <v>57</v>
      </c>
      <c r="B6" s="14">
        <v>6490</v>
      </c>
      <c r="C6" s="4">
        <v>2020</v>
      </c>
      <c r="D6" s="4">
        <v>38600</v>
      </c>
      <c r="E6" t="s">
        <v>9</v>
      </c>
      <c r="F6" s="4" t="s">
        <v>8</v>
      </c>
      <c r="G6" s="4" t="s">
        <v>19</v>
      </c>
      <c r="H6" s="10" t="s">
        <v>10</v>
      </c>
      <c r="I6" s="4">
        <v>5</v>
      </c>
      <c r="J6" s="4" t="s">
        <v>22</v>
      </c>
      <c r="K6" s="4" t="s">
        <v>30</v>
      </c>
      <c r="L6" s="4">
        <v>0.15088538515329519</v>
      </c>
      <c r="M6" s="4">
        <f>2024 - Table2[[#This Row],[YEAR]]</f>
        <v>4</v>
      </c>
      <c r="N6">
        <v>1</v>
      </c>
      <c r="O6">
        <f t="shared" si="0"/>
        <v>1</v>
      </c>
      <c r="P6">
        <f t="shared" si="1"/>
        <v>0</v>
      </c>
      <c r="Q6">
        <f t="shared" si="2"/>
        <v>1</v>
      </c>
      <c r="S6" s="18" t="s">
        <v>9</v>
      </c>
      <c r="T6">
        <v>70</v>
      </c>
    </row>
    <row r="7" spans="1:40" ht="15" x14ac:dyDescent="0.35">
      <c r="A7" s="3">
        <v>97</v>
      </c>
      <c r="B7" s="13">
        <v>10899</v>
      </c>
      <c r="C7" s="3">
        <v>2022</v>
      </c>
      <c r="D7" s="3">
        <v>42573</v>
      </c>
      <c r="E7" t="s">
        <v>9</v>
      </c>
      <c r="F7" s="3" t="s">
        <v>8</v>
      </c>
      <c r="G7" s="3" t="s">
        <v>19</v>
      </c>
      <c r="H7" s="9" t="s">
        <v>10</v>
      </c>
      <c r="I7" s="3">
        <v>5</v>
      </c>
      <c r="J7" s="3" t="s">
        <v>22</v>
      </c>
      <c r="K7" s="3" t="s">
        <v>21</v>
      </c>
      <c r="L7" s="3">
        <v>0.19920046403553493</v>
      </c>
      <c r="M7" s="4">
        <f>2024 - Table2[[#This Row],[YEAR]]</f>
        <v>2</v>
      </c>
      <c r="N7">
        <v>1</v>
      </c>
      <c r="O7">
        <f t="shared" si="0"/>
        <v>1</v>
      </c>
      <c r="P7">
        <f t="shared" si="1"/>
        <v>0</v>
      </c>
      <c r="Q7">
        <f t="shared" si="2"/>
        <v>1</v>
      </c>
      <c r="S7" s="18" t="s">
        <v>27</v>
      </c>
      <c r="T7">
        <v>6</v>
      </c>
    </row>
    <row r="8" spans="1:40" ht="15" x14ac:dyDescent="0.35">
      <c r="A8" s="3">
        <v>99</v>
      </c>
      <c r="B8" s="13">
        <v>12889</v>
      </c>
      <c r="C8" s="3">
        <v>2021</v>
      </c>
      <c r="D8" s="3">
        <v>23080</v>
      </c>
      <c r="E8" t="s">
        <v>9</v>
      </c>
      <c r="F8" s="3" t="s">
        <v>8</v>
      </c>
      <c r="G8" s="3" t="s">
        <v>19</v>
      </c>
      <c r="H8" s="9" t="s">
        <v>10</v>
      </c>
      <c r="I8" s="3">
        <v>5</v>
      </c>
      <c r="J8" s="3" t="s">
        <v>22</v>
      </c>
      <c r="K8" s="3" t="s">
        <v>21</v>
      </c>
      <c r="L8" s="3">
        <v>0.29271267139522983</v>
      </c>
      <c r="M8" s="4">
        <f>2024 - Table2[[#This Row],[YEAR]]</f>
        <v>3</v>
      </c>
      <c r="N8">
        <v>1.4</v>
      </c>
      <c r="O8">
        <f t="shared" si="0"/>
        <v>1</v>
      </c>
      <c r="P8">
        <f t="shared" si="1"/>
        <v>0</v>
      </c>
      <c r="Q8">
        <f t="shared" si="2"/>
        <v>1</v>
      </c>
      <c r="S8" s="18" t="s">
        <v>49</v>
      </c>
      <c r="T8">
        <v>80</v>
      </c>
    </row>
    <row r="9" spans="1:40" ht="15" x14ac:dyDescent="0.35">
      <c r="A9" s="3">
        <v>45</v>
      </c>
      <c r="B9" s="13">
        <v>3790</v>
      </c>
      <c r="C9" s="3">
        <v>2016</v>
      </c>
      <c r="D9" s="3">
        <v>69000</v>
      </c>
      <c r="E9" t="s">
        <v>9</v>
      </c>
      <c r="F9" s="3" t="s">
        <v>8</v>
      </c>
      <c r="G9" s="3" t="s">
        <v>19</v>
      </c>
      <c r="H9" s="9" t="s">
        <v>10</v>
      </c>
      <c r="I9" s="3">
        <v>5</v>
      </c>
      <c r="J9" s="3" t="s">
        <v>22</v>
      </c>
      <c r="K9" s="3" t="s">
        <v>21</v>
      </c>
      <c r="L9" s="3">
        <v>0.31290135830326637</v>
      </c>
      <c r="M9" s="4">
        <f>2024 - Table2[[#This Row],[YEAR]]</f>
        <v>8</v>
      </c>
      <c r="N9">
        <v>1</v>
      </c>
      <c r="O9">
        <f t="shared" si="0"/>
        <v>1</v>
      </c>
      <c r="P9">
        <f t="shared" si="1"/>
        <v>0</v>
      </c>
      <c r="Q9">
        <f t="shared" si="2"/>
        <v>1</v>
      </c>
    </row>
    <row r="10" spans="1:40" ht="15" x14ac:dyDescent="0.35">
      <c r="A10" s="4">
        <v>8</v>
      </c>
      <c r="B10" s="14">
        <v>4695</v>
      </c>
      <c r="C10" s="4">
        <v>2014</v>
      </c>
      <c r="D10" s="4">
        <v>54907</v>
      </c>
      <c r="E10" t="s">
        <v>9</v>
      </c>
      <c r="F10" s="4" t="s">
        <v>8</v>
      </c>
      <c r="G10" s="4" t="s">
        <v>19</v>
      </c>
      <c r="H10" s="10" t="s">
        <v>10</v>
      </c>
      <c r="I10" s="4">
        <v>3</v>
      </c>
      <c r="J10" s="4" t="s">
        <v>22</v>
      </c>
      <c r="K10" s="4" t="s">
        <v>24</v>
      </c>
      <c r="L10" s="4">
        <v>0.39195494564010935</v>
      </c>
      <c r="M10" s="4">
        <f>2024 - Table2[[#This Row],[YEAR]]</f>
        <v>10</v>
      </c>
      <c r="N10">
        <v>1.3</v>
      </c>
      <c r="O10">
        <f t="shared" si="0"/>
        <v>1</v>
      </c>
      <c r="P10">
        <f t="shared" si="1"/>
        <v>0</v>
      </c>
      <c r="Q10">
        <f t="shared" si="2"/>
        <v>1</v>
      </c>
    </row>
    <row r="11" spans="1:40" ht="15" x14ac:dyDescent="0.35">
      <c r="A11" s="3">
        <v>69</v>
      </c>
      <c r="B11" s="13">
        <v>3790</v>
      </c>
      <c r="C11" s="3">
        <v>2016</v>
      </c>
      <c r="D11" s="3">
        <v>69000</v>
      </c>
      <c r="E11" t="s">
        <v>9</v>
      </c>
      <c r="F11" s="3" t="s">
        <v>8</v>
      </c>
      <c r="G11" s="3" t="s">
        <v>19</v>
      </c>
      <c r="H11" s="9" t="s">
        <v>10</v>
      </c>
      <c r="I11" s="3">
        <v>5</v>
      </c>
      <c r="J11" s="3" t="s">
        <v>22</v>
      </c>
      <c r="K11" s="3" t="s">
        <v>21</v>
      </c>
      <c r="L11" s="3">
        <v>0.42055626199925877</v>
      </c>
      <c r="M11" s="4">
        <f>2024 - Table2[[#This Row],[YEAR]]</f>
        <v>8</v>
      </c>
      <c r="N11">
        <v>1</v>
      </c>
      <c r="O11">
        <f t="shared" si="0"/>
        <v>1</v>
      </c>
      <c r="P11">
        <f t="shared" si="1"/>
        <v>0</v>
      </c>
      <c r="Q11">
        <f t="shared" si="2"/>
        <v>1</v>
      </c>
    </row>
    <row r="12" spans="1:40" ht="15" x14ac:dyDescent="0.35">
      <c r="A12" s="3">
        <v>23</v>
      </c>
      <c r="B12" s="13">
        <v>1599</v>
      </c>
      <c r="C12" s="3">
        <v>2012</v>
      </c>
      <c r="D12" s="3">
        <v>65113</v>
      </c>
      <c r="E12" t="s">
        <v>9</v>
      </c>
      <c r="F12" s="3" t="s">
        <v>8</v>
      </c>
      <c r="G12" s="3" t="s">
        <v>11</v>
      </c>
      <c r="H12" s="9" t="s">
        <v>10</v>
      </c>
      <c r="I12" s="3">
        <v>5</v>
      </c>
      <c r="J12" s="3" t="s">
        <v>22</v>
      </c>
      <c r="K12" s="3" t="s">
        <v>24</v>
      </c>
      <c r="L12" s="3">
        <v>0.46121070032681299</v>
      </c>
      <c r="M12" s="4">
        <f>2024 - Table2[[#This Row],[YEAR]]</f>
        <v>12</v>
      </c>
      <c r="N12">
        <v>1.3</v>
      </c>
      <c r="O12">
        <f t="shared" si="0"/>
        <v>1</v>
      </c>
      <c r="P12">
        <f t="shared" si="1"/>
        <v>0</v>
      </c>
      <c r="Q12">
        <f t="shared" si="2"/>
        <v>1</v>
      </c>
    </row>
    <row r="13" spans="1:40" ht="15" x14ac:dyDescent="0.35">
      <c r="A13" s="3">
        <v>64</v>
      </c>
      <c r="B13" s="13">
        <v>14205</v>
      </c>
      <c r="C13" s="3">
        <v>2022</v>
      </c>
      <c r="D13" s="3">
        <v>11410</v>
      </c>
      <c r="E13" t="s">
        <v>27</v>
      </c>
      <c r="F13" s="3" t="s">
        <v>8</v>
      </c>
      <c r="G13" s="3" t="s">
        <v>19</v>
      </c>
      <c r="H13" s="9" t="s">
        <v>10</v>
      </c>
      <c r="I13" s="3">
        <v>5</v>
      </c>
      <c r="J13" s="3" t="s">
        <v>22</v>
      </c>
      <c r="K13" s="3" t="s">
        <v>21</v>
      </c>
      <c r="L13" s="3">
        <v>0.52190022526808533</v>
      </c>
      <c r="M13" s="4">
        <f>2024 - Table2[[#This Row],[YEAR]]</f>
        <v>2</v>
      </c>
      <c r="N13">
        <v>1.4</v>
      </c>
      <c r="O13">
        <f t="shared" si="0"/>
        <v>0</v>
      </c>
      <c r="P13">
        <f t="shared" si="1"/>
        <v>0</v>
      </c>
      <c r="Q13">
        <f t="shared" si="2"/>
        <v>1</v>
      </c>
    </row>
    <row r="14" spans="1:40" ht="15" x14ac:dyDescent="0.35">
      <c r="A14" s="4">
        <v>93</v>
      </c>
      <c r="B14" s="14">
        <v>18990</v>
      </c>
      <c r="C14" s="4">
        <v>2023</v>
      </c>
      <c r="D14" s="4">
        <v>14531</v>
      </c>
      <c r="E14" t="s">
        <v>9</v>
      </c>
      <c r="F14" s="4" t="s">
        <v>8</v>
      </c>
      <c r="G14" s="4" t="s">
        <v>40</v>
      </c>
      <c r="H14" s="10" t="s">
        <v>10</v>
      </c>
      <c r="I14" s="4">
        <v>5</v>
      </c>
      <c r="J14" s="4" t="s">
        <v>22</v>
      </c>
      <c r="K14" s="4" t="s">
        <v>21</v>
      </c>
      <c r="L14" s="4">
        <v>0.65759922842992469</v>
      </c>
      <c r="M14" s="4">
        <f>2024 - Table2[[#This Row],[YEAR]]</f>
        <v>1</v>
      </c>
      <c r="N14">
        <v>1</v>
      </c>
      <c r="O14">
        <f t="shared" si="0"/>
        <v>1</v>
      </c>
      <c r="P14">
        <f t="shared" si="1"/>
        <v>0</v>
      </c>
      <c r="Q14">
        <f t="shared" si="2"/>
        <v>1</v>
      </c>
    </row>
    <row r="15" spans="1:40" ht="15" x14ac:dyDescent="0.35">
      <c r="A15" s="3">
        <v>44</v>
      </c>
      <c r="B15" s="13">
        <v>3500</v>
      </c>
      <c r="C15" s="3">
        <v>2010</v>
      </c>
      <c r="D15" s="3">
        <v>124627</v>
      </c>
      <c r="E15" t="s">
        <v>9</v>
      </c>
      <c r="F15" s="3" t="s">
        <v>8</v>
      </c>
      <c r="G15" s="3" t="s">
        <v>23</v>
      </c>
      <c r="H15" s="9" t="s">
        <v>10</v>
      </c>
      <c r="I15" s="3">
        <v>5</v>
      </c>
      <c r="J15" s="3" t="s">
        <v>22</v>
      </c>
      <c r="K15" s="3" t="s">
        <v>36</v>
      </c>
      <c r="L15" s="3">
        <v>0.66118224737885956</v>
      </c>
      <c r="M15" s="4">
        <f>2024 - Table2[[#This Row],[YEAR]]</f>
        <v>14</v>
      </c>
      <c r="N15">
        <v>1</v>
      </c>
      <c r="O15">
        <f t="shared" si="0"/>
        <v>1</v>
      </c>
      <c r="P15">
        <f t="shared" si="1"/>
        <v>0</v>
      </c>
      <c r="Q15">
        <f t="shared" si="2"/>
        <v>1</v>
      </c>
      <c r="AM15">
        <f>AVERAGE(Table2[PRICE])</f>
        <v>5950.6</v>
      </c>
      <c r="AN15" t="s">
        <v>62</v>
      </c>
    </row>
    <row r="16" spans="1:40" ht="15" x14ac:dyDescent="0.35">
      <c r="A16" s="3">
        <v>91</v>
      </c>
      <c r="B16" s="13">
        <v>10750</v>
      </c>
      <c r="C16" s="3">
        <v>2021</v>
      </c>
      <c r="D16" s="3">
        <v>20108</v>
      </c>
      <c r="E16" t="s">
        <v>9</v>
      </c>
      <c r="F16" s="3" t="s">
        <v>8</v>
      </c>
      <c r="G16" s="3" t="s">
        <v>19</v>
      </c>
      <c r="H16" s="9" t="s">
        <v>10</v>
      </c>
      <c r="I16" s="3">
        <v>5</v>
      </c>
      <c r="J16" s="3" t="s">
        <v>45</v>
      </c>
      <c r="K16" s="3" t="s">
        <v>21</v>
      </c>
      <c r="L16" s="3">
        <v>0.67812642202742368</v>
      </c>
      <c r="M16" s="4">
        <f>2024 - Table2[[#This Row],[YEAR]]</f>
        <v>3</v>
      </c>
      <c r="N16">
        <v>1.3</v>
      </c>
      <c r="O16">
        <f t="shared" si="0"/>
        <v>1</v>
      </c>
      <c r="P16">
        <f t="shared" si="1"/>
        <v>0</v>
      </c>
      <c r="Q16">
        <f t="shared" si="2"/>
        <v>1</v>
      </c>
      <c r="AA16" t="s">
        <v>46</v>
      </c>
      <c r="AB16" t="s">
        <v>74</v>
      </c>
      <c r="AM16">
        <f>STDEV(B:B)</f>
        <v>4507.3632012350745</v>
      </c>
      <c r="AN16" t="s">
        <v>63</v>
      </c>
    </row>
    <row r="17" spans="1:40" ht="18" x14ac:dyDescent="0.35">
      <c r="A17" s="3">
        <v>20</v>
      </c>
      <c r="B17" s="13">
        <v>2385</v>
      </c>
      <c r="C17" s="3">
        <v>2010</v>
      </c>
      <c r="D17" s="3">
        <v>82380</v>
      </c>
      <c r="E17" t="s">
        <v>9</v>
      </c>
      <c r="F17" s="3" t="s">
        <v>8</v>
      </c>
      <c r="G17" s="3" t="s">
        <v>11</v>
      </c>
      <c r="H17" s="9" t="s">
        <v>10</v>
      </c>
      <c r="I17" s="3">
        <v>5</v>
      </c>
      <c r="J17" s="3" t="s">
        <v>15</v>
      </c>
      <c r="K17" s="3" t="s">
        <v>18</v>
      </c>
      <c r="L17" s="3">
        <v>1.9928586162592077E-2</v>
      </c>
      <c r="M17" s="4">
        <f>2024 - Table2[[#This Row],[YEAR]]</f>
        <v>14</v>
      </c>
      <c r="N17">
        <v>1.4</v>
      </c>
      <c r="O17">
        <f t="shared" si="0"/>
        <v>1</v>
      </c>
      <c r="P17">
        <f t="shared" si="1"/>
        <v>0</v>
      </c>
      <c r="Q17">
        <f t="shared" si="2"/>
        <v>1</v>
      </c>
      <c r="T17" s="17" t="s">
        <v>48</v>
      </c>
      <c r="U17" t="s">
        <v>50</v>
      </c>
      <c r="AA17" t="s">
        <v>87</v>
      </c>
      <c r="AB17" s="25">
        <f>COUNTIFS($B$2:$B$101,"&gt;=0",$B$2:$B$101,"&lt;=1000")</f>
        <v>6</v>
      </c>
    </row>
    <row r="18" spans="1:40" ht="18" x14ac:dyDescent="0.35">
      <c r="A18" s="4">
        <v>36</v>
      </c>
      <c r="B18" s="14">
        <v>3995</v>
      </c>
      <c r="C18" s="4">
        <v>2016</v>
      </c>
      <c r="D18" s="4">
        <v>83900</v>
      </c>
      <c r="E18" t="s">
        <v>9</v>
      </c>
      <c r="F18" s="4" t="s">
        <v>8</v>
      </c>
      <c r="G18" s="4" t="s">
        <v>19</v>
      </c>
      <c r="H18" s="10" t="s">
        <v>10</v>
      </c>
      <c r="I18" s="4">
        <v>5</v>
      </c>
      <c r="J18" s="4" t="s">
        <v>15</v>
      </c>
      <c r="K18" s="4" t="s">
        <v>21</v>
      </c>
      <c r="L18" s="4">
        <v>6.1383138335915244E-2</v>
      </c>
      <c r="M18" s="4">
        <f>2024 - Table2[[#This Row],[YEAR]]</f>
        <v>8</v>
      </c>
      <c r="N18">
        <v>1.6</v>
      </c>
      <c r="O18">
        <f t="shared" si="0"/>
        <v>1</v>
      </c>
      <c r="P18">
        <f t="shared" si="1"/>
        <v>0</v>
      </c>
      <c r="Q18">
        <f t="shared" si="2"/>
        <v>1</v>
      </c>
      <c r="T18" s="18" t="s">
        <v>25</v>
      </c>
      <c r="U18" s="16">
        <v>13472</v>
      </c>
      <c r="AA18" t="s">
        <v>86</v>
      </c>
      <c r="AB18" s="25">
        <f>COUNTIFS($B$2:$B$101,"&gt;=1001",$B$2:$B$101,"&lt;=2000")</f>
        <v>9</v>
      </c>
      <c r="AM18" t="s">
        <v>64</v>
      </c>
    </row>
    <row r="19" spans="1:40" ht="18" x14ac:dyDescent="0.35">
      <c r="A19" s="4">
        <v>9</v>
      </c>
      <c r="B19" s="14">
        <v>12699</v>
      </c>
      <c r="C19" s="4">
        <v>2022</v>
      </c>
      <c r="D19" s="4">
        <v>17995</v>
      </c>
      <c r="E19" t="s">
        <v>27</v>
      </c>
      <c r="F19" s="4" t="s">
        <v>28</v>
      </c>
      <c r="G19" s="4" t="s">
        <v>19</v>
      </c>
      <c r="H19" s="10" t="s">
        <v>10</v>
      </c>
      <c r="I19" s="4">
        <v>5</v>
      </c>
      <c r="J19" s="4" t="s">
        <v>15</v>
      </c>
      <c r="K19" s="4" t="s">
        <v>21</v>
      </c>
      <c r="L19" s="4">
        <v>0.11943184572401799</v>
      </c>
      <c r="M19" s="4">
        <f>2024 - Table2[[#This Row],[YEAR]]</f>
        <v>2</v>
      </c>
      <c r="N19">
        <v>1.3</v>
      </c>
      <c r="O19">
        <f t="shared" si="0"/>
        <v>0</v>
      </c>
      <c r="P19">
        <f t="shared" si="1"/>
        <v>0</v>
      </c>
      <c r="Q19">
        <f t="shared" si="2"/>
        <v>0</v>
      </c>
      <c r="T19" s="18" t="s">
        <v>9</v>
      </c>
      <c r="U19" s="16">
        <v>381035</v>
      </c>
      <c r="W19" s="17" t="s">
        <v>48</v>
      </c>
      <c r="X19" t="s">
        <v>50</v>
      </c>
      <c r="AA19" t="s">
        <v>85</v>
      </c>
      <c r="AB19" s="25">
        <f>COUNTIFS($B$2:$B$101,"&gt;=2001",$B$2:$B$101,"&lt;=3000")</f>
        <v>11</v>
      </c>
      <c r="AM19" t="s">
        <v>65</v>
      </c>
      <c r="AN19" s="11"/>
    </row>
    <row r="20" spans="1:40" ht="18" x14ac:dyDescent="0.35">
      <c r="A20" s="4">
        <v>7</v>
      </c>
      <c r="B20" s="14">
        <v>1895</v>
      </c>
      <c r="C20" s="4">
        <v>2009</v>
      </c>
      <c r="D20" s="4">
        <v>68000</v>
      </c>
      <c r="E20" t="s">
        <v>9</v>
      </c>
      <c r="F20" s="4" t="s">
        <v>8</v>
      </c>
      <c r="G20" s="4" t="s">
        <v>11</v>
      </c>
      <c r="H20" s="10" t="s">
        <v>10</v>
      </c>
      <c r="I20" s="4">
        <v>5</v>
      </c>
      <c r="J20" s="4" t="s">
        <v>15</v>
      </c>
      <c r="K20" s="4" t="s">
        <v>24</v>
      </c>
      <c r="L20" s="4">
        <v>0.31357904174358464</v>
      </c>
      <c r="M20" s="4">
        <f>2024 - Table2[[#This Row],[YEAR]]</f>
        <v>15</v>
      </c>
      <c r="N20">
        <v>1</v>
      </c>
      <c r="O20">
        <f t="shared" si="0"/>
        <v>1</v>
      </c>
      <c r="P20">
        <f t="shared" si="1"/>
        <v>0</v>
      </c>
      <c r="Q20">
        <f t="shared" si="2"/>
        <v>1</v>
      </c>
      <c r="T20" s="18" t="s">
        <v>27</v>
      </c>
      <c r="U20" s="16">
        <v>81541</v>
      </c>
      <c r="W20" s="20" t="s">
        <v>52</v>
      </c>
      <c r="X20" s="16">
        <v>19660</v>
      </c>
      <c r="Y20" s="11"/>
      <c r="AA20" t="s">
        <v>84</v>
      </c>
      <c r="AB20" s="25">
        <f>COUNTIFS($B$2:$B$101,"&gt;=3001",$B$2:$B$101,"&lt;=4000")</f>
        <v>15</v>
      </c>
      <c r="AM20">
        <f xml:space="preserve"> 1.96 * 504.03</f>
        <v>987.89879999999994</v>
      </c>
      <c r="AN20" s="11"/>
    </row>
    <row r="21" spans="1:40" ht="18" x14ac:dyDescent="0.35">
      <c r="A21" s="3">
        <v>30</v>
      </c>
      <c r="B21" s="13">
        <v>2385</v>
      </c>
      <c r="C21" s="3">
        <v>2010</v>
      </c>
      <c r="D21" s="3">
        <v>82380</v>
      </c>
      <c r="E21" t="s">
        <v>9</v>
      </c>
      <c r="F21" s="3" t="s">
        <v>8</v>
      </c>
      <c r="G21" s="3" t="s">
        <v>11</v>
      </c>
      <c r="H21" s="9" t="s">
        <v>10</v>
      </c>
      <c r="I21" s="3">
        <v>5</v>
      </c>
      <c r="J21" s="3" t="s">
        <v>15</v>
      </c>
      <c r="K21" s="3" t="s">
        <v>18</v>
      </c>
      <c r="L21" s="3">
        <v>0.31712395962887774</v>
      </c>
      <c r="M21" s="4">
        <f>2024 - Table2[[#This Row],[YEAR]]</f>
        <v>14</v>
      </c>
      <c r="N21">
        <v>1</v>
      </c>
      <c r="O21">
        <f t="shared" si="0"/>
        <v>1</v>
      </c>
      <c r="P21">
        <f t="shared" si="1"/>
        <v>0</v>
      </c>
      <c r="Q21">
        <f t="shared" si="2"/>
        <v>1</v>
      </c>
      <c r="T21" s="18" t="s">
        <v>49</v>
      </c>
      <c r="U21" s="16">
        <v>476048</v>
      </c>
      <c r="W21" s="20" t="s">
        <v>53</v>
      </c>
      <c r="X21" s="16">
        <v>78724</v>
      </c>
      <c r="Y21" s="11"/>
      <c r="AA21" t="s">
        <v>75</v>
      </c>
      <c r="AB21" s="25">
        <f>COUNTIFS($B$2:$B$101,"&gt;=4001",$B$2:$B$101,"&lt;=5000")</f>
        <v>9</v>
      </c>
      <c r="AM21" t="s">
        <v>66</v>
      </c>
      <c r="AN21" s="11"/>
    </row>
    <row r="22" spans="1:40" ht="18" x14ac:dyDescent="0.35">
      <c r="A22" s="3">
        <v>2</v>
      </c>
      <c r="B22" s="15">
        <v>1199</v>
      </c>
      <c r="C22" s="3">
        <v>2006</v>
      </c>
      <c r="D22" s="3">
        <v>70444</v>
      </c>
      <c r="E22" t="s">
        <v>9</v>
      </c>
      <c r="F22" s="3" t="s">
        <v>8</v>
      </c>
      <c r="G22" s="3" t="s">
        <v>11</v>
      </c>
      <c r="H22" s="9" t="s">
        <v>10</v>
      </c>
      <c r="I22" s="3">
        <v>5</v>
      </c>
      <c r="J22" s="3" t="s">
        <v>15</v>
      </c>
      <c r="K22" s="3" t="s">
        <v>18</v>
      </c>
      <c r="L22" s="3">
        <v>0.40659407446395912</v>
      </c>
      <c r="M22" s="4">
        <f>2024 - Table2[[#This Row],[YEAR]]</f>
        <v>18</v>
      </c>
      <c r="N22">
        <v>1</v>
      </c>
      <c r="O22">
        <f t="shared" si="0"/>
        <v>1</v>
      </c>
      <c r="P22">
        <f t="shared" si="1"/>
        <v>0</v>
      </c>
      <c r="Q22">
        <f t="shared" si="2"/>
        <v>1</v>
      </c>
      <c r="W22" s="20" t="s">
        <v>54</v>
      </c>
      <c r="X22" s="16">
        <v>51230</v>
      </c>
      <c r="Y22" s="11"/>
      <c r="AA22" t="s">
        <v>76</v>
      </c>
      <c r="AB22" s="25">
        <f>COUNTIFS($B$2:$B$101,"&gt;=5001",$B$2:$B$101,"&lt;=6000")</f>
        <v>1</v>
      </c>
      <c r="AN22" s="11"/>
    </row>
    <row r="23" spans="1:40" ht="18" x14ac:dyDescent="0.35">
      <c r="A23" s="4">
        <v>89</v>
      </c>
      <c r="B23" s="14">
        <v>12699</v>
      </c>
      <c r="C23" s="4">
        <v>2022</v>
      </c>
      <c r="D23" s="4">
        <v>17995</v>
      </c>
      <c r="E23" t="s">
        <v>27</v>
      </c>
      <c r="F23" s="4" t="s">
        <v>28</v>
      </c>
      <c r="G23" s="4" t="s">
        <v>19</v>
      </c>
      <c r="H23" s="10" t="s">
        <v>10</v>
      </c>
      <c r="I23" s="4">
        <v>5</v>
      </c>
      <c r="J23" s="4" t="s">
        <v>15</v>
      </c>
      <c r="K23" s="4" t="s">
        <v>21</v>
      </c>
      <c r="L23" s="4">
        <v>0.41288998677175937</v>
      </c>
      <c r="M23" s="4">
        <f>2024 - Table2[[#This Row],[YEAR]]</f>
        <v>2</v>
      </c>
      <c r="N23">
        <v>1.4</v>
      </c>
      <c r="O23">
        <f t="shared" si="0"/>
        <v>0</v>
      </c>
      <c r="P23">
        <f t="shared" si="1"/>
        <v>0</v>
      </c>
      <c r="Q23">
        <f t="shared" si="2"/>
        <v>0</v>
      </c>
      <c r="T23">
        <f>AM16/8.94427191</f>
        <v>503.93852586208715</v>
      </c>
      <c r="W23" s="20" t="s">
        <v>55</v>
      </c>
      <c r="X23" s="16">
        <v>27079</v>
      </c>
      <c r="Y23" s="11"/>
      <c r="AA23" t="s">
        <v>77</v>
      </c>
      <c r="AB23" s="25">
        <f>COUNTIFS($B$2:$B$101,"&gt;=6001",$B$2:$B$101,"&lt;=7000")</f>
        <v>3</v>
      </c>
      <c r="AM23" t="s">
        <v>67</v>
      </c>
    </row>
    <row r="24" spans="1:40" ht="18" x14ac:dyDescent="0.35">
      <c r="A24" s="4">
        <v>13</v>
      </c>
      <c r="B24" s="14">
        <v>16949</v>
      </c>
      <c r="C24" s="4">
        <v>2023</v>
      </c>
      <c r="D24" s="4">
        <v>9102</v>
      </c>
      <c r="E24" t="s">
        <v>27</v>
      </c>
      <c r="F24" s="4" t="s">
        <v>28</v>
      </c>
      <c r="G24" s="4" t="s">
        <v>19</v>
      </c>
      <c r="H24" s="10" t="s">
        <v>10</v>
      </c>
      <c r="I24" s="4">
        <v>5</v>
      </c>
      <c r="J24" s="4" t="s">
        <v>15</v>
      </c>
      <c r="K24" s="4" t="s">
        <v>30</v>
      </c>
      <c r="L24" s="4">
        <v>0.44120617399431916</v>
      </c>
      <c r="M24" s="4">
        <f>2024 - Table2[[#This Row],[YEAR]]</f>
        <v>1</v>
      </c>
      <c r="N24">
        <v>1</v>
      </c>
      <c r="O24">
        <f t="shared" si="0"/>
        <v>0</v>
      </c>
      <c r="P24">
        <f t="shared" si="1"/>
        <v>0</v>
      </c>
      <c r="Q24">
        <f t="shared" si="2"/>
        <v>0</v>
      </c>
      <c r="W24" s="20" t="s">
        <v>56</v>
      </c>
      <c r="X24" s="16">
        <v>45965</v>
      </c>
      <c r="Y24" s="11"/>
      <c r="AA24" t="s">
        <v>78</v>
      </c>
      <c r="AB24" s="25">
        <f>COUNTIFS($B$2:$B$101,"&gt;=7001",$B$2:$B$101,"&lt;=8000")</f>
        <v>1</v>
      </c>
      <c r="AM24" t="s">
        <v>68</v>
      </c>
    </row>
    <row r="25" spans="1:40" ht="18" x14ac:dyDescent="0.35">
      <c r="A25" s="3">
        <v>6</v>
      </c>
      <c r="B25" s="13">
        <v>1650</v>
      </c>
      <c r="C25" s="3">
        <v>2009</v>
      </c>
      <c r="D25" s="3">
        <v>86900</v>
      </c>
      <c r="E25" t="s">
        <v>9</v>
      </c>
      <c r="F25" s="3" t="s">
        <v>8</v>
      </c>
      <c r="G25" s="3" t="s">
        <v>23</v>
      </c>
      <c r="H25" s="9" t="s">
        <v>10</v>
      </c>
      <c r="I25" s="3">
        <v>5</v>
      </c>
      <c r="J25" s="3" t="s">
        <v>15</v>
      </c>
      <c r="K25" s="3" t="s">
        <v>18</v>
      </c>
      <c r="L25" s="3">
        <v>0.54432184058724031</v>
      </c>
      <c r="M25" s="4">
        <f>2024 - Table2[[#This Row],[YEAR]]</f>
        <v>15</v>
      </c>
      <c r="N25">
        <v>1</v>
      </c>
      <c r="O25">
        <f t="shared" si="0"/>
        <v>1</v>
      </c>
      <c r="P25">
        <f t="shared" si="1"/>
        <v>0</v>
      </c>
      <c r="Q25">
        <f t="shared" si="2"/>
        <v>1</v>
      </c>
      <c r="W25" s="20" t="s">
        <v>57</v>
      </c>
      <c r="X25" s="16">
        <v>87732</v>
      </c>
      <c r="Y25" s="11"/>
      <c r="AA25" t="s">
        <v>79</v>
      </c>
      <c r="AB25" s="25">
        <f>COUNTIFS($B$2:$B$101,"&gt;=8001",$B$2:$B$101,"&lt;=9000")</f>
        <v>2</v>
      </c>
    </row>
    <row r="26" spans="1:40" ht="18" x14ac:dyDescent="0.35">
      <c r="A26" s="3">
        <v>74</v>
      </c>
      <c r="B26" s="13">
        <v>3995</v>
      </c>
      <c r="C26" s="3">
        <v>2016</v>
      </c>
      <c r="D26" s="3">
        <v>83900</v>
      </c>
      <c r="E26" t="s">
        <v>9</v>
      </c>
      <c r="F26" s="3" t="s">
        <v>8</v>
      </c>
      <c r="G26" s="3" t="s">
        <v>19</v>
      </c>
      <c r="H26" s="9" t="s">
        <v>10</v>
      </c>
      <c r="I26" s="3">
        <v>5</v>
      </c>
      <c r="J26" s="3" t="s">
        <v>15</v>
      </c>
      <c r="K26" s="3" t="s">
        <v>36</v>
      </c>
      <c r="L26" s="3">
        <v>0.62324736341765585</v>
      </c>
      <c r="M26" s="4">
        <f>2024 - Table2[[#This Row],[YEAR]]</f>
        <v>8</v>
      </c>
      <c r="N26">
        <v>1</v>
      </c>
      <c r="O26">
        <f t="shared" si="0"/>
        <v>1</v>
      </c>
      <c r="P26">
        <f t="shared" si="1"/>
        <v>0</v>
      </c>
      <c r="Q26">
        <f t="shared" si="2"/>
        <v>1</v>
      </c>
      <c r="W26" s="20" t="s">
        <v>58</v>
      </c>
      <c r="X26" s="16">
        <v>101184</v>
      </c>
      <c r="Y26" s="11"/>
      <c r="AA26" t="s">
        <v>83</v>
      </c>
      <c r="AB26" s="25">
        <f>COUNTIFS($B$2:$B$101,"&gt;=9001",$B$2:$B$101,"&lt;=10000")</f>
        <v>4</v>
      </c>
      <c r="AM26" t="s">
        <v>69</v>
      </c>
    </row>
    <row r="27" spans="1:40" ht="18" x14ac:dyDescent="0.35">
      <c r="A27" s="3">
        <v>100</v>
      </c>
      <c r="B27" s="13">
        <v>12099</v>
      </c>
      <c r="C27" s="3">
        <v>2021</v>
      </c>
      <c r="D27" s="3">
        <v>19147</v>
      </c>
      <c r="E27" t="s">
        <v>9</v>
      </c>
      <c r="F27" s="3" t="s">
        <v>8</v>
      </c>
      <c r="G27" s="3" t="s">
        <v>19</v>
      </c>
      <c r="H27" s="9" t="s">
        <v>10</v>
      </c>
      <c r="I27" s="3">
        <v>5</v>
      </c>
      <c r="J27" s="3" t="s">
        <v>15</v>
      </c>
      <c r="K27" s="3" t="s">
        <v>21</v>
      </c>
      <c r="L27" s="3">
        <v>0.65338871520871411</v>
      </c>
      <c r="M27" s="4">
        <f>2024 - Table2[[#This Row],[YEAR]]</f>
        <v>3</v>
      </c>
      <c r="N27">
        <v>1</v>
      </c>
      <c r="O27">
        <f t="shared" si="0"/>
        <v>1</v>
      </c>
      <c r="P27">
        <f t="shared" si="1"/>
        <v>0</v>
      </c>
      <c r="Q27">
        <f t="shared" si="2"/>
        <v>1</v>
      </c>
      <c r="U27" t="s">
        <v>71</v>
      </c>
      <c r="V27" s="21">
        <v>0.95</v>
      </c>
      <c r="W27" s="20" t="s">
        <v>59</v>
      </c>
      <c r="X27" s="16">
        <v>28535</v>
      </c>
      <c r="Y27" s="11"/>
      <c r="AA27" t="s">
        <v>82</v>
      </c>
      <c r="AB27" s="25">
        <f>COUNTIFS($B$2:$B$101,"&gt;=10001",$B$2:$B$101,"&lt;=12000")</f>
        <v>7</v>
      </c>
      <c r="AM27" t="s">
        <v>70</v>
      </c>
    </row>
    <row r="28" spans="1:40" ht="18" x14ac:dyDescent="0.35">
      <c r="A28" s="4">
        <v>54</v>
      </c>
      <c r="B28" s="14">
        <v>6099</v>
      </c>
      <c r="C28" s="4">
        <v>2019</v>
      </c>
      <c r="D28" s="4">
        <v>103000</v>
      </c>
      <c r="E28" t="s">
        <v>25</v>
      </c>
      <c r="F28" s="4" t="s">
        <v>8</v>
      </c>
      <c r="G28" s="4" t="s">
        <v>40</v>
      </c>
      <c r="H28" s="10" t="s">
        <v>10</v>
      </c>
      <c r="I28" s="4">
        <v>5</v>
      </c>
      <c r="J28" s="4" t="s">
        <v>15</v>
      </c>
      <c r="K28" s="4" t="s">
        <v>21</v>
      </c>
      <c r="L28" s="4">
        <v>0.67648901276252593</v>
      </c>
      <c r="M28" s="4">
        <f>2024 - Table2[[#This Row],[YEAR]]</f>
        <v>5</v>
      </c>
      <c r="N28">
        <v>1.6</v>
      </c>
      <c r="O28">
        <f t="shared" si="0"/>
        <v>0</v>
      </c>
      <c r="P28">
        <f t="shared" si="1"/>
        <v>1</v>
      </c>
      <c r="Q28">
        <f t="shared" si="2"/>
        <v>1</v>
      </c>
      <c r="W28" s="20" t="s">
        <v>60</v>
      </c>
      <c r="X28" s="16">
        <v>16949</v>
      </c>
      <c r="Y28" s="11"/>
      <c r="AA28" t="s">
        <v>81</v>
      </c>
      <c r="AB28" s="25">
        <f>COUNTIFS($B$2:$B$101,"&gt;=12001",$B$2:$B$101,"&lt;=14000")</f>
        <v>8</v>
      </c>
    </row>
    <row r="29" spans="1:40" ht="18" x14ac:dyDescent="0.35">
      <c r="A29" s="3">
        <v>83</v>
      </c>
      <c r="B29" s="13">
        <v>6790</v>
      </c>
      <c r="C29" s="3">
        <v>2016</v>
      </c>
      <c r="D29" s="3">
        <v>32494</v>
      </c>
      <c r="E29" t="s">
        <v>9</v>
      </c>
      <c r="F29" s="3" t="s">
        <v>8</v>
      </c>
      <c r="G29" s="3" t="s">
        <v>11</v>
      </c>
      <c r="H29" s="9" t="s">
        <v>10</v>
      </c>
      <c r="I29" s="3">
        <v>3</v>
      </c>
      <c r="J29" s="3" t="s">
        <v>43</v>
      </c>
      <c r="K29" s="3" t="s">
        <v>21</v>
      </c>
      <c r="L29" s="3">
        <v>0.12782311383362632</v>
      </c>
      <c r="M29" s="4">
        <f>2024 - Table2[[#This Row],[YEAR]]</f>
        <v>8</v>
      </c>
      <c r="N29">
        <v>1.4</v>
      </c>
      <c r="O29">
        <f t="shared" si="0"/>
        <v>1</v>
      </c>
      <c r="P29">
        <f t="shared" si="1"/>
        <v>0</v>
      </c>
      <c r="Q29">
        <f t="shared" si="2"/>
        <v>1</v>
      </c>
      <c r="W29" s="20" t="s">
        <v>61</v>
      </c>
      <c r="X29" s="16">
        <v>18990</v>
      </c>
      <c r="Y29" s="11"/>
      <c r="AA29" t="s">
        <v>80</v>
      </c>
      <c r="AB29" s="25">
        <f>COUNTIFS($B$2:$B$101,"&gt;=14001")</f>
        <v>4</v>
      </c>
    </row>
    <row r="30" spans="1:40" ht="18" x14ac:dyDescent="0.35">
      <c r="A30" s="3">
        <v>52</v>
      </c>
      <c r="B30" s="13">
        <v>9129</v>
      </c>
      <c r="C30" s="3">
        <v>2017</v>
      </c>
      <c r="D30" s="3">
        <v>28395</v>
      </c>
      <c r="E30" t="s">
        <v>9</v>
      </c>
      <c r="F30" s="3" t="s">
        <v>8</v>
      </c>
      <c r="G30" s="3" t="s">
        <v>19</v>
      </c>
      <c r="H30" s="9" t="s">
        <v>10</v>
      </c>
      <c r="I30" s="3">
        <v>5</v>
      </c>
      <c r="J30" s="3" t="s">
        <v>39</v>
      </c>
      <c r="K30" s="3" t="s">
        <v>21</v>
      </c>
      <c r="L30" s="3">
        <v>0.26639843218776527</v>
      </c>
      <c r="M30" s="4">
        <f>2024 - Table2[[#This Row],[YEAR]]</f>
        <v>7</v>
      </c>
      <c r="N30">
        <v>1.4</v>
      </c>
      <c r="O30">
        <f t="shared" si="0"/>
        <v>1</v>
      </c>
      <c r="P30">
        <f t="shared" si="1"/>
        <v>0</v>
      </c>
      <c r="Q30">
        <f t="shared" si="2"/>
        <v>1</v>
      </c>
      <c r="W30" s="20" t="s">
        <v>49</v>
      </c>
      <c r="X30" s="16">
        <v>476048</v>
      </c>
      <c r="AB30" s="25">
        <f>SUM(Table4[Column2])</f>
        <v>80</v>
      </c>
    </row>
    <row r="31" spans="1:40" ht="15" x14ac:dyDescent="0.35">
      <c r="A31" s="4">
        <v>96</v>
      </c>
      <c r="B31" s="14">
        <v>2250</v>
      </c>
      <c r="C31" s="4">
        <v>2009</v>
      </c>
      <c r="D31" s="4">
        <v>52000</v>
      </c>
      <c r="E31" t="s">
        <v>9</v>
      </c>
      <c r="F31" s="4" t="s">
        <v>8</v>
      </c>
      <c r="G31" s="4" t="s">
        <v>11</v>
      </c>
      <c r="H31" s="10" t="s">
        <v>10</v>
      </c>
      <c r="I31" s="4">
        <v>3</v>
      </c>
      <c r="J31" s="4" t="s">
        <v>16</v>
      </c>
      <c r="K31" s="4" t="s">
        <v>36</v>
      </c>
      <c r="L31" s="4">
        <v>0.45780554303966958</v>
      </c>
      <c r="M31" s="4">
        <f>2024 - Table2[[#This Row],[YEAR]]</f>
        <v>15</v>
      </c>
      <c r="N31">
        <v>1.3</v>
      </c>
      <c r="O31">
        <f t="shared" si="0"/>
        <v>1</v>
      </c>
      <c r="P31">
        <f t="shared" si="1"/>
        <v>0</v>
      </c>
      <c r="Q31">
        <f t="shared" si="2"/>
        <v>1</v>
      </c>
    </row>
    <row r="32" spans="1:40" ht="15" x14ac:dyDescent="0.35">
      <c r="A32" s="4">
        <v>70</v>
      </c>
      <c r="B32" s="14">
        <v>3500</v>
      </c>
      <c r="C32" s="4">
        <v>2010</v>
      </c>
      <c r="D32" s="4">
        <v>124627</v>
      </c>
      <c r="E32" t="s">
        <v>9</v>
      </c>
      <c r="F32" s="4" t="s">
        <v>28</v>
      </c>
      <c r="G32" s="4" t="s">
        <v>23</v>
      </c>
      <c r="H32" s="10" t="s">
        <v>10</v>
      </c>
      <c r="I32" s="4">
        <v>5</v>
      </c>
      <c r="J32" s="4" t="s">
        <v>20</v>
      </c>
      <c r="K32" s="4" t="s">
        <v>36</v>
      </c>
      <c r="L32" s="4">
        <v>5.3244275431412857E-2</v>
      </c>
      <c r="M32" s="4">
        <f>2024 - Table2[[#This Row],[YEAR]]</f>
        <v>14</v>
      </c>
      <c r="N32">
        <v>1</v>
      </c>
      <c r="O32">
        <f t="shared" si="0"/>
        <v>1</v>
      </c>
      <c r="P32">
        <f t="shared" si="1"/>
        <v>0</v>
      </c>
      <c r="Q32">
        <f t="shared" si="2"/>
        <v>0</v>
      </c>
    </row>
    <row r="33" spans="1:21" ht="15" x14ac:dyDescent="0.35">
      <c r="A33" s="3">
        <v>28</v>
      </c>
      <c r="B33" s="13">
        <v>3250</v>
      </c>
      <c r="C33" s="3">
        <v>2013</v>
      </c>
      <c r="D33" s="3">
        <v>73850</v>
      </c>
      <c r="E33" t="s">
        <v>9</v>
      </c>
      <c r="F33" s="3" t="s">
        <v>8</v>
      </c>
      <c r="G33" s="3" t="s">
        <v>19</v>
      </c>
      <c r="H33" s="9" t="s">
        <v>10</v>
      </c>
      <c r="I33" s="3">
        <v>5</v>
      </c>
      <c r="J33" s="3" t="s">
        <v>20</v>
      </c>
      <c r="K33" s="3" t="s">
        <v>24</v>
      </c>
      <c r="L33" s="3">
        <v>0.14957810587943388</v>
      </c>
      <c r="M33" s="4">
        <f>2024 - Table2[[#This Row],[YEAR]]</f>
        <v>11</v>
      </c>
      <c r="N33">
        <v>1</v>
      </c>
      <c r="O33">
        <f t="shared" si="0"/>
        <v>1</v>
      </c>
      <c r="P33">
        <f t="shared" si="1"/>
        <v>0</v>
      </c>
      <c r="Q33">
        <f t="shared" si="2"/>
        <v>1</v>
      </c>
    </row>
    <row r="34" spans="1:21" ht="15" x14ac:dyDescent="0.35">
      <c r="A34" s="3">
        <v>47</v>
      </c>
      <c r="B34" s="13">
        <v>4350</v>
      </c>
      <c r="C34" s="3">
        <v>2018</v>
      </c>
      <c r="D34" s="3">
        <v>93400</v>
      </c>
      <c r="E34" t="s">
        <v>9</v>
      </c>
      <c r="F34" s="3" t="s">
        <v>8</v>
      </c>
      <c r="G34" s="3" t="s">
        <v>19</v>
      </c>
      <c r="H34" s="9" t="s">
        <v>10</v>
      </c>
      <c r="I34" s="3">
        <v>3</v>
      </c>
      <c r="J34" s="3" t="s">
        <v>20</v>
      </c>
      <c r="K34" s="3" t="s">
        <v>21</v>
      </c>
      <c r="L34" s="3">
        <v>0.21875197619916653</v>
      </c>
      <c r="M34" s="4">
        <f>2024 - Table2[[#This Row],[YEAR]]</f>
        <v>6</v>
      </c>
      <c r="N34">
        <v>1</v>
      </c>
      <c r="O34">
        <f t="shared" ref="O34:O65" si="3">IF(E34="Petrol",1,0)</f>
        <v>1</v>
      </c>
      <c r="P34">
        <f t="shared" ref="P34:P65" si="4">IF(E34="Diesel",1,0)</f>
        <v>0</v>
      </c>
      <c r="Q34">
        <f t="shared" ref="Q34:Q65" si="5">IF(F34="Manual",1,0)</f>
        <v>1</v>
      </c>
    </row>
    <row r="35" spans="1:21" ht="15" x14ac:dyDescent="0.35">
      <c r="A35" s="4">
        <v>12</v>
      </c>
      <c r="B35" s="14">
        <v>12499</v>
      </c>
      <c r="C35" s="4">
        <v>2023</v>
      </c>
      <c r="D35" s="4">
        <v>9930</v>
      </c>
      <c r="E35" t="s">
        <v>27</v>
      </c>
      <c r="F35" s="4" t="s">
        <v>28</v>
      </c>
      <c r="G35" s="4" t="s">
        <v>19</v>
      </c>
      <c r="H35" s="10" t="s">
        <v>10</v>
      </c>
      <c r="I35" s="4">
        <v>5</v>
      </c>
      <c r="J35" s="4" t="s">
        <v>20</v>
      </c>
      <c r="K35" s="4" t="s">
        <v>21</v>
      </c>
      <c r="L35" s="4">
        <v>0.22416071908651647</v>
      </c>
      <c r="M35" s="4">
        <f>2024 - Table2[[#This Row],[YEAR]]</f>
        <v>1</v>
      </c>
      <c r="N35">
        <v>1</v>
      </c>
      <c r="O35">
        <f t="shared" si="3"/>
        <v>0</v>
      </c>
      <c r="P35">
        <f t="shared" si="4"/>
        <v>0</v>
      </c>
      <c r="Q35">
        <f t="shared" si="5"/>
        <v>0</v>
      </c>
    </row>
    <row r="36" spans="1:21" ht="15" x14ac:dyDescent="0.35">
      <c r="A36" s="4">
        <v>21</v>
      </c>
      <c r="B36" s="14">
        <v>5000</v>
      </c>
      <c r="C36" s="4">
        <v>2016</v>
      </c>
      <c r="D36" s="4">
        <v>73000</v>
      </c>
      <c r="E36" t="s">
        <v>9</v>
      </c>
      <c r="F36" s="4" t="s">
        <v>8</v>
      </c>
      <c r="G36" s="4" t="s">
        <v>19</v>
      </c>
      <c r="H36" s="10" t="s">
        <v>10</v>
      </c>
      <c r="I36" s="4">
        <v>3</v>
      </c>
      <c r="J36" s="4" t="s">
        <v>20</v>
      </c>
      <c r="K36" s="4" t="s">
        <v>21</v>
      </c>
      <c r="L36" s="4">
        <v>0.27714119017624317</v>
      </c>
      <c r="M36" s="4">
        <f>2024 - Table2[[#This Row],[YEAR]]</f>
        <v>8</v>
      </c>
      <c r="N36">
        <v>1</v>
      </c>
      <c r="O36">
        <f t="shared" si="3"/>
        <v>1</v>
      </c>
      <c r="P36">
        <f t="shared" si="4"/>
        <v>0</v>
      </c>
      <c r="Q36">
        <f t="shared" si="5"/>
        <v>1</v>
      </c>
    </row>
    <row r="37" spans="1:21" ht="15" x14ac:dyDescent="0.35">
      <c r="A37" s="4">
        <v>62</v>
      </c>
      <c r="B37" s="14">
        <v>4000</v>
      </c>
      <c r="C37" s="4">
        <v>2013</v>
      </c>
      <c r="D37" s="4">
        <v>78970</v>
      </c>
      <c r="E37" t="s">
        <v>9</v>
      </c>
      <c r="F37" s="4" t="s">
        <v>8</v>
      </c>
      <c r="G37" s="4" t="s">
        <v>11</v>
      </c>
      <c r="H37" s="10" t="s">
        <v>10</v>
      </c>
      <c r="I37" s="4">
        <v>3</v>
      </c>
      <c r="J37" s="4" t="s">
        <v>20</v>
      </c>
      <c r="K37" s="4" t="s">
        <v>24</v>
      </c>
      <c r="L37" s="4">
        <v>0.30767273132686856</v>
      </c>
      <c r="M37" s="4">
        <f>2024 - Table2[[#This Row],[YEAR]]</f>
        <v>11</v>
      </c>
      <c r="N37">
        <v>1.3</v>
      </c>
      <c r="O37">
        <f t="shared" si="3"/>
        <v>1</v>
      </c>
      <c r="P37">
        <f t="shared" si="4"/>
        <v>0</v>
      </c>
      <c r="Q37">
        <f t="shared" si="5"/>
        <v>1</v>
      </c>
    </row>
    <row r="38" spans="1:21" ht="15" x14ac:dyDescent="0.35">
      <c r="A38" s="4">
        <v>90</v>
      </c>
      <c r="B38" s="14">
        <v>2500</v>
      </c>
      <c r="C38" s="4">
        <v>2015</v>
      </c>
      <c r="D38" s="4">
        <v>114000</v>
      </c>
      <c r="E38" t="s">
        <v>9</v>
      </c>
      <c r="F38" s="4" t="s">
        <v>8</v>
      </c>
      <c r="G38" s="4" t="s">
        <v>19</v>
      </c>
      <c r="H38" s="10" t="s">
        <v>10</v>
      </c>
      <c r="I38" s="4">
        <v>3</v>
      </c>
      <c r="J38" s="4" t="s">
        <v>20</v>
      </c>
      <c r="K38" s="4" t="s">
        <v>21</v>
      </c>
      <c r="L38" s="4">
        <v>0.32368799968092044</v>
      </c>
      <c r="M38" s="4">
        <f>2024 - Table2[[#This Row],[YEAR]]</f>
        <v>9</v>
      </c>
      <c r="N38">
        <v>1</v>
      </c>
      <c r="O38">
        <f t="shared" si="3"/>
        <v>1</v>
      </c>
      <c r="P38">
        <f t="shared" si="4"/>
        <v>0</v>
      </c>
      <c r="Q38">
        <f t="shared" si="5"/>
        <v>1</v>
      </c>
    </row>
    <row r="39" spans="1:21" ht="15" x14ac:dyDescent="0.35">
      <c r="A39" s="4">
        <v>4</v>
      </c>
      <c r="B39" s="14">
        <v>1495</v>
      </c>
      <c r="C39" s="4">
        <v>2015</v>
      </c>
      <c r="D39" s="10">
        <v>114000</v>
      </c>
      <c r="E39" t="s">
        <v>9</v>
      </c>
      <c r="F39" s="4" t="s">
        <v>8</v>
      </c>
      <c r="G39" s="4" t="s">
        <v>19</v>
      </c>
      <c r="H39" s="10" t="s">
        <v>10</v>
      </c>
      <c r="I39" s="4">
        <v>3</v>
      </c>
      <c r="J39" s="4" t="s">
        <v>20</v>
      </c>
      <c r="K39" s="4" t="s">
        <v>21</v>
      </c>
      <c r="L39" s="4">
        <v>0.37608998426680362</v>
      </c>
      <c r="M39" s="4">
        <f>2024 - Table2[[#This Row],[YEAR]]</f>
        <v>9</v>
      </c>
      <c r="N39">
        <v>1.3</v>
      </c>
      <c r="O39">
        <f t="shared" si="3"/>
        <v>1</v>
      </c>
      <c r="P39">
        <f t="shared" si="4"/>
        <v>0</v>
      </c>
      <c r="Q39">
        <f t="shared" si="5"/>
        <v>1</v>
      </c>
    </row>
    <row r="40" spans="1:21" ht="15" x14ac:dyDescent="0.35">
      <c r="A40" s="4">
        <v>18</v>
      </c>
      <c r="B40" s="14">
        <v>3250</v>
      </c>
      <c r="C40" s="4">
        <v>2013</v>
      </c>
      <c r="D40" s="4">
        <v>73850</v>
      </c>
      <c r="E40" t="s">
        <v>9</v>
      </c>
      <c r="F40" s="4" t="s">
        <v>8</v>
      </c>
      <c r="G40" s="4" t="s">
        <v>19</v>
      </c>
      <c r="H40" s="10" t="s">
        <v>10</v>
      </c>
      <c r="I40" s="4">
        <v>5</v>
      </c>
      <c r="J40" s="4" t="s">
        <v>20</v>
      </c>
      <c r="K40" s="4" t="s">
        <v>24</v>
      </c>
      <c r="L40" s="4">
        <v>0.47762418590650124</v>
      </c>
      <c r="M40" s="4">
        <f>2024 - Table2[[#This Row],[YEAR]]</f>
        <v>11</v>
      </c>
      <c r="N40">
        <v>1.3</v>
      </c>
      <c r="O40">
        <f t="shared" si="3"/>
        <v>1</v>
      </c>
      <c r="P40">
        <f t="shared" si="4"/>
        <v>0</v>
      </c>
      <c r="Q40">
        <f t="shared" si="5"/>
        <v>1</v>
      </c>
    </row>
    <row r="41" spans="1:21" ht="15" x14ac:dyDescent="0.35">
      <c r="A41" s="4">
        <v>39</v>
      </c>
      <c r="B41" s="14">
        <v>3999</v>
      </c>
      <c r="C41" s="4">
        <v>2015</v>
      </c>
      <c r="D41" s="4">
        <v>84800</v>
      </c>
      <c r="E41" t="s">
        <v>9</v>
      </c>
      <c r="F41" s="4" t="s">
        <v>8</v>
      </c>
      <c r="G41" s="4" t="s">
        <v>19</v>
      </c>
      <c r="H41" s="10" t="s">
        <v>10</v>
      </c>
      <c r="I41" s="4">
        <v>5</v>
      </c>
      <c r="J41" s="4" t="s">
        <v>20</v>
      </c>
      <c r="K41" s="4" t="s">
        <v>21</v>
      </c>
      <c r="L41" s="4">
        <v>0.61472825898773253</v>
      </c>
      <c r="M41" s="4">
        <f>2024 - Table2[[#This Row],[YEAR]]</f>
        <v>9</v>
      </c>
      <c r="N41">
        <v>1</v>
      </c>
      <c r="O41">
        <f t="shared" si="3"/>
        <v>1</v>
      </c>
      <c r="P41">
        <f t="shared" si="4"/>
        <v>0</v>
      </c>
      <c r="Q41">
        <f t="shared" si="5"/>
        <v>1</v>
      </c>
    </row>
    <row r="42" spans="1:21" ht="15" x14ac:dyDescent="0.35">
      <c r="A42" s="4">
        <v>86</v>
      </c>
      <c r="B42" s="14">
        <v>13629</v>
      </c>
      <c r="C42" s="4">
        <v>2022</v>
      </c>
      <c r="D42" s="4">
        <v>18714</v>
      </c>
      <c r="E42" t="s">
        <v>9</v>
      </c>
      <c r="F42" s="4" t="s">
        <v>8</v>
      </c>
      <c r="G42" s="4" t="s">
        <v>19</v>
      </c>
      <c r="H42" s="10" t="s">
        <v>10</v>
      </c>
      <c r="I42" s="4">
        <v>5</v>
      </c>
      <c r="J42" s="4" t="s">
        <v>20</v>
      </c>
      <c r="K42" s="4" t="s">
        <v>21</v>
      </c>
      <c r="L42" s="4">
        <v>0.6521784420701876</v>
      </c>
      <c r="M42" s="4">
        <f>2024 - Table2[[#This Row],[YEAR]]</f>
        <v>2</v>
      </c>
      <c r="N42">
        <v>1.3</v>
      </c>
      <c r="O42">
        <f t="shared" si="3"/>
        <v>1</v>
      </c>
      <c r="P42">
        <f t="shared" si="4"/>
        <v>0</v>
      </c>
      <c r="Q42">
        <f t="shared" si="5"/>
        <v>1</v>
      </c>
    </row>
    <row r="43" spans="1:21" ht="15" x14ac:dyDescent="0.35">
      <c r="A43" s="4">
        <v>17</v>
      </c>
      <c r="B43" s="14">
        <v>1689</v>
      </c>
      <c r="C43" s="4">
        <v>2009</v>
      </c>
      <c r="D43" s="4">
        <v>107000</v>
      </c>
      <c r="E43" t="s">
        <v>25</v>
      </c>
      <c r="F43" s="4" t="s">
        <v>8</v>
      </c>
      <c r="G43" s="4" t="s">
        <v>23</v>
      </c>
      <c r="H43" s="10" t="s">
        <v>10</v>
      </c>
      <c r="I43" s="4">
        <v>5</v>
      </c>
      <c r="J43" s="4" t="s">
        <v>26</v>
      </c>
      <c r="K43" s="4" t="s">
        <v>18</v>
      </c>
      <c r="L43" s="4">
        <v>0.19965918671304694</v>
      </c>
      <c r="M43" s="4">
        <f>2024 - Table2[[#This Row],[YEAR]]</f>
        <v>15</v>
      </c>
      <c r="N43">
        <v>1</v>
      </c>
      <c r="O43">
        <f t="shared" si="3"/>
        <v>0</v>
      </c>
      <c r="P43">
        <f t="shared" si="4"/>
        <v>1</v>
      </c>
      <c r="Q43">
        <f t="shared" si="5"/>
        <v>1</v>
      </c>
    </row>
    <row r="44" spans="1:21" ht="15" x14ac:dyDescent="0.35">
      <c r="A44" s="3">
        <v>27</v>
      </c>
      <c r="B44" s="13">
        <v>1689</v>
      </c>
      <c r="C44" s="3">
        <v>2009</v>
      </c>
      <c r="D44" s="3">
        <v>10700</v>
      </c>
      <c r="E44" t="s">
        <v>25</v>
      </c>
      <c r="F44" s="3" t="s">
        <v>8</v>
      </c>
      <c r="G44" s="3" t="s">
        <v>23</v>
      </c>
      <c r="H44" s="9" t="s">
        <v>10</v>
      </c>
      <c r="I44" s="3">
        <v>5</v>
      </c>
      <c r="J44" s="3" t="s">
        <v>26</v>
      </c>
      <c r="K44" s="3" t="s">
        <v>24</v>
      </c>
      <c r="L44" s="3">
        <v>0.69832528505895219</v>
      </c>
      <c r="M44" s="4">
        <f>2024 - Table2[[#This Row],[YEAR]]</f>
        <v>15</v>
      </c>
      <c r="N44">
        <v>1</v>
      </c>
      <c r="O44">
        <f t="shared" si="3"/>
        <v>0</v>
      </c>
      <c r="P44">
        <f t="shared" si="4"/>
        <v>1</v>
      </c>
      <c r="Q44">
        <f t="shared" si="5"/>
        <v>1</v>
      </c>
      <c r="U44" t="s">
        <v>72</v>
      </c>
    </row>
    <row r="45" spans="1:21" ht="15" x14ac:dyDescent="0.35">
      <c r="A45" s="3">
        <v>65</v>
      </c>
      <c r="B45" s="13">
        <v>2350</v>
      </c>
      <c r="C45" s="3">
        <v>2015</v>
      </c>
      <c r="D45" s="3">
        <v>106800</v>
      </c>
      <c r="E45" t="s">
        <v>9</v>
      </c>
      <c r="F45" s="3" t="s">
        <v>8</v>
      </c>
      <c r="G45" s="3" t="s">
        <v>11</v>
      </c>
      <c r="H45" s="9" t="s">
        <v>10</v>
      </c>
      <c r="I45" s="3">
        <v>3</v>
      </c>
      <c r="J45" s="3" t="s">
        <v>29</v>
      </c>
      <c r="K45" s="3" t="s">
        <v>24</v>
      </c>
      <c r="L45" s="3">
        <v>0.15524455363862721</v>
      </c>
      <c r="M45" s="4">
        <f>2024 - Table2[[#This Row],[YEAR]]</f>
        <v>9</v>
      </c>
      <c r="N45">
        <v>1</v>
      </c>
      <c r="O45">
        <f t="shared" si="3"/>
        <v>1</v>
      </c>
      <c r="P45">
        <f t="shared" si="4"/>
        <v>0</v>
      </c>
      <c r="Q45">
        <f t="shared" si="5"/>
        <v>1</v>
      </c>
    </row>
    <row r="46" spans="1:21" ht="15" x14ac:dyDescent="0.35">
      <c r="A46" s="4">
        <v>88</v>
      </c>
      <c r="B46" s="14">
        <v>8139</v>
      </c>
      <c r="C46" s="4">
        <v>2016</v>
      </c>
      <c r="D46" s="4">
        <v>26187</v>
      </c>
      <c r="E46" t="s">
        <v>9</v>
      </c>
      <c r="F46" s="4" t="s">
        <v>8</v>
      </c>
      <c r="G46" s="4" t="s">
        <v>11</v>
      </c>
      <c r="H46" s="10" t="s">
        <v>10</v>
      </c>
      <c r="I46" s="4">
        <v>5</v>
      </c>
      <c r="J46" s="4" t="s">
        <v>29</v>
      </c>
      <c r="K46" s="4" t="s">
        <v>21</v>
      </c>
      <c r="L46" s="4">
        <v>0.18843431430780011</v>
      </c>
      <c r="M46" s="4">
        <f>2024 - Table2[[#This Row],[YEAR]]</f>
        <v>8</v>
      </c>
      <c r="N46">
        <v>1.3</v>
      </c>
      <c r="O46">
        <f t="shared" si="3"/>
        <v>1</v>
      </c>
      <c r="P46">
        <f t="shared" si="4"/>
        <v>0</v>
      </c>
      <c r="Q46">
        <f t="shared" si="5"/>
        <v>1</v>
      </c>
    </row>
    <row r="47" spans="1:21" ht="15" x14ac:dyDescent="0.35">
      <c r="A47" s="3">
        <v>71</v>
      </c>
      <c r="B47" s="13">
        <v>4995</v>
      </c>
      <c r="C47" s="3">
        <v>2018</v>
      </c>
      <c r="D47" s="3">
        <v>73461</v>
      </c>
      <c r="E47" t="s">
        <v>9</v>
      </c>
      <c r="F47" s="3" t="s">
        <v>8</v>
      </c>
      <c r="G47" s="3" t="s">
        <v>19</v>
      </c>
      <c r="H47" s="9" t="s">
        <v>10</v>
      </c>
      <c r="I47" s="3">
        <v>3</v>
      </c>
      <c r="J47" s="3" t="s">
        <v>29</v>
      </c>
      <c r="K47" s="3" t="s">
        <v>21</v>
      </c>
      <c r="L47" s="3">
        <v>0.19096078633486657</v>
      </c>
      <c r="M47" s="4">
        <f>2024 - Table2[[#This Row],[YEAR]]</f>
        <v>6</v>
      </c>
      <c r="N47">
        <v>1</v>
      </c>
      <c r="O47">
        <f t="shared" si="3"/>
        <v>1</v>
      </c>
      <c r="P47">
        <f t="shared" si="4"/>
        <v>0</v>
      </c>
      <c r="Q47">
        <f t="shared" si="5"/>
        <v>1</v>
      </c>
    </row>
    <row r="48" spans="1:21" ht="15" x14ac:dyDescent="0.35">
      <c r="A48" s="3">
        <v>10</v>
      </c>
      <c r="B48" s="13">
        <v>12490</v>
      </c>
      <c r="C48" s="3">
        <v>2023</v>
      </c>
      <c r="D48" s="3">
        <v>37800</v>
      </c>
      <c r="E48" t="s">
        <v>27</v>
      </c>
      <c r="F48" s="3" t="s">
        <v>28</v>
      </c>
      <c r="G48" s="3" t="s">
        <v>19</v>
      </c>
      <c r="H48" s="9" t="s">
        <v>10</v>
      </c>
      <c r="I48" s="3">
        <v>5</v>
      </c>
      <c r="J48" s="3" t="s">
        <v>29</v>
      </c>
      <c r="K48" s="3" t="s">
        <v>21</v>
      </c>
      <c r="L48" s="3">
        <v>0.20247997370838555</v>
      </c>
      <c r="M48" s="4">
        <f>2024 - Table2[[#This Row],[YEAR]]</f>
        <v>1</v>
      </c>
      <c r="N48">
        <v>1</v>
      </c>
      <c r="O48">
        <f t="shared" si="3"/>
        <v>0</v>
      </c>
      <c r="P48">
        <f t="shared" si="4"/>
        <v>0</v>
      </c>
      <c r="Q48">
        <f t="shared" si="5"/>
        <v>0</v>
      </c>
    </row>
    <row r="49" spans="1:37" ht="15" x14ac:dyDescent="0.35">
      <c r="A49" s="4">
        <v>26</v>
      </c>
      <c r="B49" s="14">
        <v>2500</v>
      </c>
      <c r="C49" s="4">
        <v>2010</v>
      </c>
      <c r="D49" s="4">
        <v>102500</v>
      </c>
      <c r="E49" t="s">
        <v>9</v>
      </c>
      <c r="F49" s="4" t="s">
        <v>8</v>
      </c>
      <c r="G49" s="4" t="s">
        <v>23</v>
      </c>
      <c r="H49" s="10" t="s">
        <v>10</v>
      </c>
      <c r="I49" s="4">
        <v>3</v>
      </c>
      <c r="J49" s="4" t="s">
        <v>29</v>
      </c>
      <c r="K49" s="4" t="s">
        <v>24</v>
      </c>
      <c r="L49" s="4">
        <v>0.24994170517528813</v>
      </c>
      <c r="M49" s="4">
        <f>2024 - Table2[[#This Row],[YEAR]]</f>
        <v>14</v>
      </c>
      <c r="N49">
        <v>1</v>
      </c>
      <c r="O49">
        <f t="shared" si="3"/>
        <v>1</v>
      </c>
      <c r="P49">
        <f t="shared" si="4"/>
        <v>0</v>
      </c>
      <c r="Q49">
        <f t="shared" si="5"/>
        <v>1</v>
      </c>
    </row>
    <row r="50" spans="1:37" ht="15" x14ac:dyDescent="0.35">
      <c r="A50" s="3">
        <v>16</v>
      </c>
      <c r="B50" s="13">
        <v>2500</v>
      </c>
      <c r="C50" s="3">
        <v>2010</v>
      </c>
      <c r="D50" s="3">
        <v>102500</v>
      </c>
      <c r="E50" t="s">
        <v>9</v>
      </c>
      <c r="F50" s="3" t="s">
        <v>28</v>
      </c>
      <c r="G50" s="3" t="s">
        <v>23</v>
      </c>
      <c r="H50" s="9" t="s">
        <v>10</v>
      </c>
      <c r="I50" s="3">
        <v>3</v>
      </c>
      <c r="J50" s="3" t="s">
        <v>29</v>
      </c>
      <c r="K50" s="3" t="s">
        <v>24</v>
      </c>
      <c r="L50" s="3">
        <v>0.25511887653928011</v>
      </c>
      <c r="M50" s="4">
        <f>2024 - Table2[[#This Row],[YEAR]]</f>
        <v>14</v>
      </c>
      <c r="N50">
        <v>1.6</v>
      </c>
      <c r="O50">
        <f t="shared" si="3"/>
        <v>1</v>
      </c>
      <c r="P50">
        <f t="shared" si="4"/>
        <v>0</v>
      </c>
      <c r="Q50">
        <f t="shared" si="5"/>
        <v>0</v>
      </c>
    </row>
    <row r="51" spans="1:37" ht="15" x14ac:dyDescent="0.35">
      <c r="A51" s="4">
        <v>63</v>
      </c>
      <c r="B51" s="14">
        <v>3080</v>
      </c>
      <c r="C51" s="4">
        <v>2011</v>
      </c>
      <c r="D51" s="4">
        <v>76546</v>
      </c>
      <c r="E51" t="s">
        <v>9</v>
      </c>
      <c r="F51" s="4" t="s">
        <v>8</v>
      </c>
      <c r="G51" s="4" t="s">
        <v>11</v>
      </c>
      <c r="H51" s="10" t="s">
        <v>10</v>
      </c>
      <c r="I51" s="4">
        <v>5</v>
      </c>
      <c r="J51" s="4" t="s">
        <v>29</v>
      </c>
      <c r="K51" s="4" t="s">
        <v>24</v>
      </c>
      <c r="L51" s="4">
        <v>0.2554037055260594</v>
      </c>
      <c r="M51" s="4">
        <f>2024 - Table2[[#This Row],[YEAR]]</f>
        <v>13</v>
      </c>
      <c r="N51">
        <v>1.4</v>
      </c>
      <c r="O51">
        <f t="shared" si="3"/>
        <v>1</v>
      </c>
      <c r="P51">
        <f t="shared" si="4"/>
        <v>0</v>
      </c>
      <c r="Q51">
        <f t="shared" si="5"/>
        <v>1</v>
      </c>
    </row>
    <row r="52" spans="1:37" ht="15" x14ac:dyDescent="0.35">
      <c r="A52" s="3">
        <v>58</v>
      </c>
      <c r="B52" s="13">
        <v>8995</v>
      </c>
      <c r="C52" s="3">
        <v>2018</v>
      </c>
      <c r="D52" s="3">
        <v>37598</v>
      </c>
      <c r="E52" t="s">
        <v>9</v>
      </c>
      <c r="F52" s="3" t="s">
        <v>8</v>
      </c>
      <c r="G52" s="3" t="s">
        <v>19</v>
      </c>
      <c r="H52" s="9" t="s">
        <v>10</v>
      </c>
      <c r="I52" s="3">
        <v>3</v>
      </c>
      <c r="J52" s="3" t="s">
        <v>29</v>
      </c>
      <c r="K52" s="3" t="s">
        <v>21</v>
      </c>
      <c r="L52" s="3">
        <v>0.27682025864917226</v>
      </c>
      <c r="M52" s="4">
        <f>2024 - Table2[[#This Row],[YEAR]]</f>
        <v>6</v>
      </c>
      <c r="N52">
        <v>1</v>
      </c>
      <c r="O52">
        <f t="shared" si="3"/>
        <v>1</v>
      </c>
      <c r="P52">
        <f t="shared" si="4"/>
        <v>0</v>
      </c>
      <c r="Q52">
        <f t="shared" si="5"/>
        <v>1</v>
      </c>
      <c r="U52" s="17" t="s">
        <v>48</v>
      </c>
      <c r="V52" t="s">
        <v>88</v>
      </c>
      <c r="W52" t="s">
        <v>98</v>
      </c>
      <c r="X52" t="s">
        <v>99</v>
      </c>
      <c r="Y52" t="s">
        <v>102</v>
      </c>
      <c r="Z52" t="s">
        <v>100</v>
      </c>
    </row>
    <row r="53" spans="1:37" ht="15" x14ac:dyDescent="0.35">
      <c r="A53" s="3">
        <v>32</v>
      </c>
      <c r="B53" s="13">
        <v>11267</v>
      </c>
      <c r="C53" s="3">
        <v>2020</v>
      </c>
      <c r="D53" s="3">
        <v>26067</v>
      </c>
      <c r="E53" t="s">
        <v>9</v>
      </c>
      <c r="F53" s="3" t="s">
        <v>8</v>
      </c>
      <c r="G53" s="3" t="s">
        <v>19</v>
      </c>
      <c r="H53" s="9" t="s">
        <v>10</v>
      </c>
      <c r="I53" s="3">
        <v>5</v>
      </c>
      <c r="J53" s="3" t="s">
        <v>29</v>
      </c>
      <c r="K53" s="3" t="s">
        <v>21</v>
      </c>
      <c r="L53" s="3">
        <v>0.38585099593919825</v>
      </c>
      <c r="M53" s="4">
        <f>2024 - Table2[[#This Row],[YEAR]]</f>
        <v>4</v>
      </c>
      <c r="N53">
        <v>1.3</v>
      </c>
      <c r="O53">
        <f t="shared" si="3"/>
        <v>1</v>
      </c>
      <c r="P53">
        <f t="shared" si="4"/>
        <v>0</v>
      </c>
      <c r="Q53">
        <f t="shared" si="5"/>
        <v>1</v>
      </c>
      <c r="U53" s="18" t="s">
        <v>28</v>
      </c>
      <c r="V53">
        <v>8</v>
      </c>
      <c r="W53" s="16">
        <v>10411</v>
      </c>
      <c r="X53" s="16">
        <v>4963.4930096800636</v>
      </c>
      <c r="Y53" s="16">
        <v>2500</v>
      </c>
      <c r="Z53" s="16">
        <v>2500</v>
      </c>
    </row>
    <row r="54" spans="1:37" ht="15" x14ac:dyDescent="0.35">
      <c r="A54" s="4">
        <v>22</v>
      </c>
      <c r="B54" s="14">
        <v>11844</v>
      </c>
      <c r="C54" s="4">
        <v>2022</v>
      </c>
      <c r="D54" s="4">
        <v>14099</v>
      </c>
      <c r="E54" t="s">
        <v>9</v>
      </c>
      <c r="F54" s="4" t="s">
        <v>8</v>
      </c>
      <c r="G54" s="4" t="s">
        <v>35</v>
      </c>
      <c r="H54" s="10" t="s">
        <v>10</v>
      </c>
      <c r="I54" s="4">
        <v>5</v>
      </c>
      <c r="J54" s="4" t="s">
        <v>29</v>
      </c>
      <c r="K54" s="4" t="s">
        <v>21</v>
      </c>
      <c r="L54" s="4">
        <v>0.50688572186943914</v>
      </c>
      <c r="M54" s="4">
        <f>2024 - Table2[[#This Row],[YEAR]]</f>
        <v>2</v>
      </c>
      <c r="N54">
        <v>1.3</v>
      </c>
      <c r="O54">
        <f t="shared" si="3"/>
        <v>1</v>
      </c>
      <c r="P54">
        <f t="shared" si="4"/>
        <v>0</v>
      </c>
      <c r="Q54">
        <f t="shared" si="5"/>
        <v>1</v>
      </c>
      <c r="U54" s="18" t="s">
        <v>8</v>
      </c>
      <c r="V54">
        <v>72</v>
      </c>
      <c r="W54" s="16">
        <v>5455</v>
      </c>
      <c r="X54" s="16">
        <v>4205.4453968534053</v>
      </c>
      <c r="Y54" s="16">
        <v>595</v>
      </c>
      <c r="Z54" s="16">
        <v>595</v>
      </c>
    </row>
    <row r="55" spans="1:37" ht="15" x14ac:dyDescent="0.35">
      <c r="A55" s="4">
        <v>56</v>
      </c>
      <c r="B55" s="14">
        <v>3521</v>
      </c>
      <c r="C55" s="4">
        <v>2015</v>
      </c>
      <c r="D55" s="4">
        <v>80000</v>
      </c>
      <c r="E55" t="s">
        <v>9</v>
      </c>
      <c r="F55" s="4" t="s">
        <v>8</v>
      </c>
      <c r="G55" s="4" t="s">
        <v>19</v>
      </c>
      <c r="H55" s="10" t="s">
        <v>10</v>
      </c>
      <c r="I55" s="4">
        <v>3</v>
      </c>
      <c r="J55" s="4" t="s">
        <v>29</v>
      </c>
      <c r="K55" s="4" t="s">
        <v>21</v>
      </c>
      <c r="L55" s="4">
        <v>0.54409881085810885</v>
      </c>
      <c r="M55" s="4">
        <f>2024 - Table2[[#This Row],[YEAR]]</f>
        <v>9</v>
      </c>
      <c r="N55">
        <v>1</v>
      </c>
      <c r="O55">
        <f t="shared" si="3"/>
        <v>1</v>
      </c>
      <c r="P55">
        <f t="shared" si="4"/>
        <v>0</v>
      </c>
      <c r="Q55">
        <f t="shared" si="5"/>
        <v>1</v>
      </c>
      <c r="U55" s="18" t="s">
        <v>49</v>
      </c>
      <c r="V55">
        <v>80</v>
      </c>
      <c r="W55" s="16">
        <v>5950.6</v>
      </c>
      <c r="X55" s="16">
        <v>4507.3632012350745</v>
      </c>
      <c r="Y55" s="16">
        <v>595</v>
      </c>
      <c r="Z55" s="16">
        <v>595</v>
      </c>
    </row>
    <row r="56" spans="1:37" ht="15" x14ac:dyDescent="0.35">
      <c r="A56" s="4">
        <v>81</v>
      </c>
      <c r="B56" s="14">
        <v>3850</v>
      </c>
      <c r="C56" s="4">
        <v>2012</v>
      </c>
      <c r="D56" s="4">
        <v>56678</v>
      </c>
      <c r="E56" t="s">
        <v>9</v>
      </c>
      <c r="F56" s="4" t="s">
        <v>8</v>
      </c>
      <c r="G56" s="4" t="s">
        <v>11</v>
      </c>
      <c r="H56" s="10" t="s">
        <v>10</v>
      </c>
      <c r="I56" s="4">
        <v>5</v>
      </c>
      <c r="J56" s="4" t="s">
        <v>29</v>
      </c>
      <c r="K56" s="4" t="s">
        <v>24</v>
      </c>
      <c r="L56" s="4">
        <v>0.63398365292714709</v>
      </c>
      <c r="M56" s="4">
        <f>2024 - Table2[[#This Row],[YEAR]]</f>
        <v>12</v>
      </c>
      <c r="N56">
        <v>1.5</v>
      </c>
      <c r="O56">
        <f t="shared" si="3"/>
        <v>1</v>
      </c>
      <c r="P56">
        <f t="shared" si="4"/>
        <v>0</v>
      </c>
      <c r="Q56">
        <f t="shared" si="5"/>
        <v>1</v>
      </c>
      <c r="AB56" s="17" t="s">
        <v>48</v>
      </c>
      <c r="AC56" t="s">
        <v>88</v>
      </c>
      <c r="AD56" t="s">
        <v>98</v>
      </c>
      <c r="AE56" t="s">
        <v>99</v>
      </c>
      <c r="AF56" t="s">
        <v>100</v>
      </c>
      <c r="AG56" t="s">
        <v>101</v>
      </c>
      <c r="AH56" s="21"/>
      <c r="AI56" s="21"/>
      <c r="AJ56" s="21"/>
    </row>
    <row r="57" spans="1:37" ht="15" x14ac:dyDescent="0.35">
      <c r="A57" s="4">
        <v>41</v>
      </c>
      <c r="B57" s="14">
        <v>1000</v>
      </c>
      <c r="C57" s="4">
        <v>2007</v>
      </c>
      <c r="D57" s="4">
        <v>72000</v>
      </c>
      <c r="E57" t="s">
        <v>9</v>
      </c>
      <c r="F57" s="4" t="s">
        <v>8</v>
      </c>
      <c r="G57" s="4" t="s">
        <v>23</v>
      </c>
      <c r="H57" s="10" t="s">
        <v>10</v>
      </c>
      <c r="I57" s="4">
        <v>3</v>
      </c>
      <c r="J57" s="4" t="s">
        <v>29</v>
      </c>
      <c r="K57" s="4" t="s">
        <v>36</v>
      </c>
      <c r="L57" s="4">
        <v>0.69808162645653316</v>
      </c>
      <c r="M57" s="4">
        <f>2024 - Table2[[#This Row],[YEAR]]</f>
        <v>17</v>
      </c>
      <c r="N57">
        <v>1</v>
      </c>
      <c r="O57">
        <f t="shared" si="3"/>
        <v>1</v>
      </c>
      <c r="P57">
        <f t="shared" si="4"/>
        <v>0</v>
      </c>
      <c r="Q57">
        <f t="shared" si="5"/>
        <v>1</v>
      </c>
      <c r="AB57" s="18" t="s">
        <v>25</v>
      </c>
      <c r="AC57">
        <v>4</v>
      </c>
      <c r="AD57" s="16">
        <v>3368</v>
      </c>
      <c r="AE57" s="16">
        <v>2120.5008842252341</v>
      </c>
      <c r="AF57" s="16">
        <v>1689</v>
      </c>
      <c r="AG57" s="16">
        <v>6099</v>
      </c>
      <c r="AI57" s="21"/>
      <c r="AJ57" s="21"/>
      <c r="AK57" s="21"/>
    </row>
    <row r="58" spans="1:37" ht="15" x14ac:dyDescent="0.35">
      <c r="A58" s="4">
        <v>82</v>
      </c>
      <c r="B58" s="14">
        <v>10000</v>
      </c>
      <c r="C58" s="4">
        <v>2022</v>
      </c>
      <c r="D58" s="4">
        <v>46180</v>
      </c>
      <c r="E58" t="s">
        <v>9</v>
      </c>
      <c r="F58" s="4" t="s">
        <v>8</v>
      </c>
      <c r="G58" s="4" t="s">
        <v>35</v>
      </c>
      <c r="H58" s="10" t="s">
        <v>10</v>
      </c>
      <c r="I58" s="4">
        <v>5</v>
      </c>
      <c r="J58" s="4" t="s">
        <v>29</v>
      </c>
      <c r="K58" s="4" t="s">
        <v>21</v>
      </c>
      <c r="L58" s="4">
        <v>0.76045625947033912</v>
      </c>
      <c r="M58" s="4">
        <f>2024 - Table2[[#This Row],[YEAR]]</f>
        <v>2</v>
      </c>
      <c r="N58">
        <v>1</v>
      </c>
      <c r="O58">
        <f t="shared" si="3"/>
        <v>1</v>
      </c>
      <c r="P58">
        <f t="shared" si="4"/>
        <v>0</v>
      </c>
      <c r="Q58">
        <f t="shared" si="5"/>
        <v>1</v>
      </c>
      <c r="AB58" s="18" t="s">
        <v>9</v>
      </c>
      <c r="AC58">
        <v>70</v>
      </c>
      <c r="AD58" s="16">
        <v>5443.3571428571431</v>
      </c>
      <c r="AE58" s="16">
        <v>4137.1119277201669</v>
      </c>
      <c r="AF58" s="16">
        <v>595</v>
      </c>
      <c r="AG58" s="16">
        <v>18990</v>
      </c>
      <c r="AI58" s="16"/>
    </row>
    <row r="59" spans="1:37" ht="15" x14ac:dyDescent="0.35">
      <c r="A59" s="3">
        <v>43</v>
      </c>
      <c r="B59" s="13">
        <v>4995</v>
      </c>
      <c r="C59" s="3">
        <v>2018</v>
      </c>
      <c r="D59" s="3">
        <v>73461</v>
      </c>
      <c r="E59" t="s">
        <v>9</v>
      </c>
      <c r="F59" s="3" t="s">
        <v>8</v>
      </c>
      <c r="G59" s="3" t="s">
        <v>19</v>
      </c>
      <c r="H59" s="9" t="s">
        <v>10</v>
      </c>
      <c r="I59" s="3">
        <v>3</v>
      </c>
      <c r="J59" s="3" t="s">
        <v>29</v>
      </c>
      <c r="K59" s="3" t="s">
        <v>21</v>
      </c>
      <c r="L59" s="3">
        <v>0.78143396523639197</v>
      </c>
      <c r="M59" s="4">
        <f>2024 - Table2[[#This Row],[YEAR]]</f>
        <v>6</v>
      </c>
      <c r="N59">
        <v>1.1000000000000001</v>
      </c>
      <c r="O59">
        <f t="shared" si="3"/>
        <v>1</v>
      </c>
      <c r="P59">
        <f t="shared" si="4"/>
        <v>0</v>
      </c>
      <c r="Q59">
        <f t="shared" si="5"/>
        <v>1</v>
      </c>
      <c r="AB59" s="18" t="s">
        <v>27</v>
      </c>
      <c r="AC59">
        <v>6</v>
      </c>
      <c r="AD59" s="16">
        <v>13590.166666666666</v>
      </c>
      <c r="AE59" s="16">
        <v>1769.1324898567239</v>
      </c>
      <c r="AF59" s="16">
        <v>12490</v>
      </c>
      <c r="AG59" s="16">
        <v>16949</v>
      </c>
    </row>
    <row r="60" spans="1:37" ht="15" x14ac:dyDescent="0.35">
      <c r="A60" s="3">
        <v>37</v>
      </c>
      <c r="B60" s="13">
        <v>595</v>
      </c>
      <c r="C60" s="3">
        <v>2004</v>
      </c>
      <c r="D60" s="3">
        <v>109000</v>
      </c>
      <c r="E60" t="s">
        <v>9</v>
      </c>
      <c r="F60" s="3" t="s">
        <v>8</v>
      </c>
      <c r="G60" s="3" t="s">
        <v>23</v>
      </c>
      <c r="H60" s="9" t="s">
        <v>10</v>
      </c>
      <c r="I60" s="3">
        <v>3</v>
      </c>
      <c r="J60" s="3" t="s">
        <v>13</v>
      </c>
      <c r="K60" s="3" t="s">
        <v>36</v>
      </c>
      <c r="L60" s="3">
        <v>8.1249633107021935E-2</v>
      </c>
      <c r="M60" s="4">
        <f>2024 - Table2[[#This Row],[YEAR]]</f>
        <v>20</v>
      </c>
      <c r="N60">
        <v>1</v>
      </c>
      <c r="O60">
        <f t="shared" si="3"/>
        <v>1</v>
      </c>
      <c r="P60">
        <f t="shared" si="4"/>
        <v>0</v>
      </c>
      <c r="Q60">
        <f t="shared" si="5"/>
        <v>1</v>
      </c>
      <c r="AB60" s="18" t="s">
        <v>49</v>
      </c>
      <c r="AC60">
        <v>80</v>
      </c>
      <c r="AD60" s="16">
        <v>5950.6</v>
      </c>
      <c r="AE60" s="16">
        <v>4507.3632012350745</v>
      </c>
      <c r="AF60" s="16">
        <v>595</v>
      </c>
      <c r="AG60" s="16">
        <v>18990</v>
      </c>
    </row>
    <row r="61" spans="1:37" ht="15" x14ac:dyDescent="0.35">
      <c r="A61" s="4">
        <v>25</v>
      </c>
      <c r="B61" s="14">
        <v>850</v>
      </c>
      <c r="C61" s="4">
        <v>2008</v>
      </c>
      <c r="D61" s="4">
        <v>101214</v>
      </c>
      <c r="E61" t="s">
        <v>9</v>
      </c>
      <c r="F61" s="4" t="s">
        <v>8</v>
      </c>
      <c r="G61" s="4" t="s">
        <v>23</v>
      </c>
      <c r="H61" s="10" t="s">
        <v>10</v>
      </c>
      <c r="I61" s="4">
        <v>5</v>
      </c>
      <c r="J61" s="4" t="s">
        <v>13</v>
      </c>
      <c r="K61" s="4" t="s">
        <v>18</v>
      </c>
      <c r="L61" s="4">
        <v>0.14312956086985162</v>
      </c>
      <c r="M61" s="4">
        <f>2024 - Table2[[#This Row],[YEAR]]</f>
        <v>16</v>
      </c>
      <c r="N61">
        <v>1.3</v>
      </c>
      <c r="O61">
        <f t="shared" si="3"/>
        <v>1</v>
      </c>
      <c r="P61">
        <f t="shared" si="4"/>
        <v>0</v>
      </c>
      <c r="Q61">
        <f t="shared" si="5"/>
        <v>1</v>
      </c>
    </row>
    <row r="62" spans="1:37" ht="15" x14ac:dyDescent="0.35">
      <c r="A62" s="4">
        <v>15</v>
      </c>
      <c r="B62" s="14">
        <v>850</v>
      </c>
      <c r="C62" s="4">
        <v>2008</v>
      </c>
      <c r="D62" s="4">
        <v>101214</v>
      </c>
      <c r="E62" t="s">
        <v>9</v>
      </c>
      <c r="F62" s="4" t="s">
        <v>8</v>
      </c>
      <c r="G62" s="4" t="s">
        <v>23</v>
      </c>
      <c r="H62" s="10" t="s">
        <v>10</v>
      </c>
      <c r="I62" s="4">
        <v>5</v>
      </c>
      <c r="J62" s="4" t="s">
        <v>13</v>
      </c>
      <c r="K62" s="4" t="s">
        <v>18</v>
      </c>
      <c r="L62" s="4">
        <v>0.15668438927829809</v>
      </c>
      <c r="M62" s="4">
        <f>2024 - Table2[[#This Row],[YEAR]]</f>
        <v>16</v>
      </c>
      <c r="N62">
        <v>1</v>
      </c>
      <c r="O62">
        <f t="shared" si="3"/>
        <v>1</v>
      </c>
      <c r="P62">
        <f t="shared" si="4"/>
        <v>0</v>
      </c>
      <c r="Q62">
        <f t="shared" si="5"/>
        <v>1</v>
      </c>
    </row>
    <row r="63" spans="1:37" ht="15" x14ac:dyDescent="0.35">
      <c r="A63" s="4">
        <v>67</v>
      </c>
      <c r="B63" s="14">
        <v>4350</v>
      </c>
      <c r="C63" s="4">
        <v>2018</v>
      </c>
      <c r="D63" s="4">
        <v>93400</v>
      </c>
      <c r="E63" t="s">
        <v>9</v>
      </c>
      <c r="F63" s="4" t="s">
        <v>8</v>
      </c>
      <c r="G63" s="4" t="s">
        <v>19</v>
      </c>
      <c r="H63" s="10" t="s">
        <v>10</v>
      </c>
      <c r="I63" s="4">
        <v>3</v>
      </c>
      <c r="J63" s="4" t="s">
        <v>13</v>
      </c>
      <c r="K63" s="4" t="s">
        <v>21</v>
      </c>
      <c r="L63" s="4">
        <v>0.19618393459286743</v>
      </c>
      <c r="M63" s="4">
        <f>2024 - Table2[[#This Row],[YEAR]]</f>
        <v>6</v>
      </c>
      <c r="N63">
        <v>1</v>
      </c>
      <c r="O63">
        <f t="shared" si="3"/>
        <v>1</v>
      </c>
      <c r="P63">
        <f t="shared" si="4"/>
        <v>0</v>
      </c>
      <c r="Q63">
        <f t="shared" si="5"/>
        <v>1</v>
      </c>
      <c r="AC63" t="s">
        <v>46</v>
      </c>
      <c r="AD63" t="s">
        <v>89</v>
      </c>
      <c r="AE63" t="s">
        <v>90</v>
      </c>
      <c r="AF63" t="s">
        <v>1</v>
      </c>
      <c r="AG63" t="s">
        <v>91</v>
      </c>
    </row>
    <row r="64" spans="1:37" ht="18" x14ac:dyDescent="0.35">
      <c r="A64" s="3">
        <v>80</v>
      </c>
      <c r="B64" s="13">
        <v>3000</v>
      </c>
      <c r="C64" s="3">
        <v>2012</v>
      </c>
      <c r="D64" s="3">
        <v>78000</v>
      </c>
      <c r="E64" t="s">
        <v>9</v>
      </c>
      <c r="F64" s="3" t="s">
        <v>8</v>
      </c>
      <c r="G64" s="3" t="s">
        <v>11</v>
      </c>
      <c r="H64" s="9" t="s">
        <v>10</v>
      </c>
      <c r="I64" s="3">
        <v>5</v>
      </c>
      <c r="J64" s="3" t="s">
        <v>13</v>
      </c>
      <c r="K64" s="3" t="s">
        <v>21</v>
      </c>
      <c r="L64" s="3">
        <v>0.35434214831923994</v>
      </c>
      <c r="M64" s="4">
        <f>2024 - Table2[[#This Row],[YEAR]]</f>
        <v>12</v>
      </c>
      <c r="N64">
        <v>1.4</v>
      </c>
      <c r="O64">
        <f t="shared" si="3"/>
        <v>1</v>
      </c>
      <c r="P64">
        <f t="shared" si="4"/>
        <v>0</v>
      </c>
      <c r="Q64">
        <f t="shared" si="5"/>
        <v>1</v>
      </c>
      <c r="AC64" s="29" t="s">
        <v>92</v>
      </c>
      <c r="AD64" s="27">
        <f>COUNT(B2:B101)</f>
        <v>80</v>
      </c>
      <c r="AE64" s="25">
        <f>COUNT(D2:D101)</f>
        <v>80</v>
      </c>
      <c r="AF64" s="25">
        <f>COUNT(C2:C101)</f>
        <v>80</v>
      </c>
      <c r="AG64" s="25">
        <f>COUNT(N:N)</f>
        <v>80</v>
      </c>
    </row>
    <row r="65" spans="1:38" ht="18" x14ac:dyDescent="0.35">
      <c r="A65" s="4">
        <v>78</v>
      </c>
      <c r="B65" s="14">
        <v>595</v>
      </c>
      <c r="C65" s="4">
        <v>2004</v>
      </c>
      <c r="D65" s="4">
        <v>10900</v>
      </c>
      <c r="E65" t="s">
        <v>9</v>
      </c>
      <c r="F65" s="4" t="s">
        <v>8</v>
      </c>
      <c r="G65" s="4" t="s">
        <v>23</v>
      </c>
      <c r="H65" s="10" t="s">
        <v>10</v>
      </c>
      <c r="I65" s="4">
        <v>3</v>
      </c>
      <c r="J65" s="4" t="s">
        <v>13</v>
      </c>
      <c r="K65" s="4" t="s">
        <v>36</v>
      </c>
      <c r="L65" s="4">
        <v>0.44372632517606259</v>
      </c>
      <c r="M65" s="4">
        <f>2024 - Table2[[#This Row],[YEAR]]</f>
        <v>20</v>
      </c>
      <c r="N65">
        <v>1</v>
      </c>
      <c r="O65">
        <f t="shared" si="3"/>
        <v>1</v>
      </c>
      <c r="P65">
        <f t="shared" si="4"/>
        <v>0</v>
      </c>
      <c r="Q65">
        <f t="shared" si="5"/>
        <v>1</v>
      </c>
      <c r="AC65" s="29" t="s">
        <v>93</v>
      </c>
      <c r="AD65" s="28">
        <f>AVERAGE(B2:B101)</f>
        <v>5950.6</v>
      </c>
      <c r="AE65" s="25">
        <f>AVERAGE(D2:D101)</f>
        <v>65106.587500000001</v>
      </c>
      <c r="AF65" s="25">
        <f>AVERAGE(C2:C101)</f>
        <v>2015.1624999999999</v>
      </c>
      <c r="AG65" s="27">
        <f>AVERAGE(N:N)</f>
        <v>1.1712499999999997</v>
      </c>
    </row>
    <row r="66" spans="1:38" ht="18" x14ac:dyDescent="0.35">
      <c r="A66" s="3">
        <v>75</v>
      </c>
      <c r="B66" s="13">
        <v>7700</v>
      </c>
      <c r="C66" s="3">
        <v>2019</v>
      </c>
      <c r="D66" s="3">
        <v>57000</v>
      </c>
      <c r="E66" t="s">
        <v>9</v>
      </c>
      <c r="F66" s="3" t="s">
        <v>8</v>
      </c>
      <c r="G66" s="3" t="s">
        <v>19</v>
      </c>
      <c r="H66" s="9" t="s">
        <v>10</v>
      </c>
      <c r="I66" s="3">
        <v>5</v>
      </c>
      <c r="J66" s="3" t="s">
        <v>13</v>
      </c>
      <c r="K66" s="3" t="s">
        <v>21</v>
      </c>
      <c r="L66" s="3">
        <v>0.44854076012616606</v>
      </c>
      <c r="M66" s="4">
        <f>2024 - Table2[[#This Row],[YEAR]]</f>
        <v>5</v>
      </c>
      <c r="N66">
        <v>1.6</v>
      </c>
      <c r="O66">
        <f t="shared" ref="O66:O81" si="6">IF(E66="Petrol",1,0)</f>
        <v>1</v>
      </c>
      <c r="P66">
        <f t="shared" ref="P66:P81" si="7">IF(E66="Diesel",1,0)</f>
        <v>0</v>
      </c>
      <c r="Q66">
        <f t="shared" ref="Q66:Q81" si="8">IF(F66="Manual",1,0)</f>
        <v>1</v>
      </c>
      <c r="AC66" s="29" t="s">
        <v>94</v>
      </c>
      <c r="AD66" s="25">
        <f>STDEV(B2:B101)</f>
        <v>4507.3632012350745</v>
      </c>
      <c r="AE66" s="25">
        <f>STDEV(D2:D101)</f>
        <v>33823.33405468073</v>
      </c>
      <c r="AF66" s="25">
        <f>STDEV(C2:C101)</f>
        <v>5.0627549162261616</v>
      </c>
      <c r="AG66" s="27">
        <f>STDEV(N:N)</f>
        <v>0.20201124796356651</v>
      </c>
    </row>
    <row r="67" spans="1:38" ht="18" x14ac:dyDescent="0.35">
      <c r="A67" s="4">
        <v>1</v>
      </c>
      <c r="B67" s="14">
        <v>999</v>
      </c>
      <c r="C67" s="10">
        <v>2012</v>
      </c>
      <c r="D67" s="10">
        <v>98000</v>
      </c>
      <c r="E67" t="s">
        <v>9</v>
      </c>
      <c r="F67" s="10" t="s">
        <v>8</v>
      </c>
      <c r="G67" s="10" t="s">
        <v>11</v>
      </c>
      <c r="H67" s="10" t="s">
        <v>10</v>
      </c>
      <c r="I67" s="4">
        <v>5</v>
      </c>
      <c r="J67" s="10" t="s">
        <v>13</v>
      </c>
      <c r="K67" s="10" t="s">
        <v>24</v>
      </c>
      <c r="L67" s="4">
        <v>0.5247729603542336</v>
      </c>
      <c r="M67" s="4">
        <f>2024 - Table2[[#This Row],[YEAR]]</f>
        <v>12</v>
      </c>
      <c r="N67">
        <v>1</v>
      </c>
      <c r="O67">
        <f t="shared" si="6"/>
        <v>1</v>
      </c>
      <c r="P67">
        <f t="shared" si="7"/>
        <v>0</v>
      </c>
      <c r="Q67">
        <f t="shared" si="8"/>
        <v>1</v>
      </c>
      <c r="AC67" s="29" t="s">
        <v>95</v>
      </c>
      <c r="AD67" s="28">
        <f>MIN(B2:B101)</f>
        <v>595</v>
      </c>
      <c r="AE67" s="25">
        <f>MIN(D2:D101)</f>
        <v>9102</v>
      </c>
      <c r="AF67" s="25">
        <f>MIN(C2:C101)</f>
        <v>2004</v>
      </c>
      <c r="AG67" s="25">
        <f>MIN(N:N)</f>
        <v>1</v>
      </c>
    </row>
    <row r="68" spans="1:38" ht="18" x14ac:dyDescent="0.35">
      <c r="A68" s="4">
        <v>38</v>
      </c>
      <c r="B68" s="14">
        <v>4350</v>
      </c>
      <c r="C68" s="4">
        <v>2018</v>
      </c>
      <c r="D68" s="4">
        <v>93400</v>
      </c>
      <c r="E68" t="s">
        <v>9</v>
      </c>
      <c r="F68" s="4" t="s">
        <v>8</v>
      </c>
      <c r="G68" s="4" t="s">
        <v>19</v>
      </c>
      <c r="H68" s="10" t="s">
        <v>10</v>
      </c>
      <c r="I68" s="4">
        <v>3</v>
      </c>
      <c r="J68" s="4" t="s">
        <v>13</v>
      </c>
      <c r="K68" s="4" t="s">
        <v>21</v>
      </c>
      <c r="L68" s="4">
        <v>0.78407044597966447</v>
      </c>
      <c r="M68" s="4">
        <f>2024 - Table2[[#This Row],[YEAR]]</f>
        <v>6</v>
      </c>
      <c r="N68">
        <v>1</v>
      </c>
      <c r="O68">
        <f t="shared" si="6"/>
        <v>1</v>
      </c>
      <c r="P68">
        <f t="shared" si="7"/>
        <v>0</v>
      </c>
      <c r="Q68">
        <f t="shared" si="8"/>
        <v>1</v>
      </c>
      <c r="AC68" s="30">
        <v>0.25</v>
      </c>
      <c r="AD68" s="25">
        <f>QUARTILE(B2:B101,1)</f>
        <v>2495</v>
      </c>
      <c r="AE68" s="25">
        <f>QUARTILE(D2:D101,1)</f>
        <v>33473.5</v>
      </c>
      <c r="AF68" s="25">
        <f>QUARTILE(C2:C101,1)</f>
        <v>2011</v>
      </c>
      <c r="AG68" s="27">
        <f>QUARTILE(N:N,1)</f>
        <v>1</v>
      </c>
    </row>
    <row r="69" spans="1:38" ht="18" x14ac:dyDescent="0.35">
      <c r="A69" s="3">
        <v>19</v>
      </c>
      <c r="B69" s="13">
        <v>1590</v>
      </c>
      <c r="C69" s="3">
        <v>2011</v>
      </c>
      <c r="D69" s="3">
        <v>112000</v>
      </c>
      <c r="E69" t="s">
        <v>9</v>
      </c>
      <c r="F69" s="3" t="s">
        <v>8</v>
      </c>
      <c r="G69" s="3" t="s">
        <v>11</v>
      </c>
      <c r="H69" s="9" t="s">
        <v>10</v>
      </c>
      <c r="I69" s="3">
        <v>3</v>
      </c>
      <c r="J69" s="3" t="s">
        <v>32</v>
      </c>
      <c r="K69" s="3" t="s">
        <v>24</v>
      </c>
      <c r="L69" s="3">
        <v>0.11783121624151693</v>
      </c>
      <c r="M69" s="4">
        <f>2024 - Table2[[#This Row],[YEAR]]</f>
        <v>13</v>
      </c>
      <c r="N69">
        <v>1.3</v>
      </c>
      <c r="O69">
        <f t="shared" si="6"/>
        <v>1</v>
      </c>
      <c r="P69">
        <f t="shared" si="7"/>
        <v>0</v>
      </c>
      <c r="Q69">
        <f t="shared" si="8"/>
        <v>1</v>
      </c>
      <c r="AC69" s="30">
        <v>0.5</v>
      </c>
      <c r="AD69" s="25">
        <f>QUARTILE(B2:B101,2)</f>
        <v>3999.5</v>
      </c>
      <c r="AE69" s="25">
        <f>QUARTILE(D2:D101,2)</f>
        <v>71222</v>
      </c>
      <c r="AF69" s="25">
        <f>QUARTILE(C2:C101,2)</f>
        <v>2015</v>
      </c>
      <c r="AG69" s="25">
        <f>QUARTILE(N2:N101,2)</f>
        <v>1</v>
      </c>
    </row>
    <row r="70" spans="1:38" ht="18" x14ac:dyDescent="0.35">
      <c r="A70" s="3">
        <v>49</v>
      </c>
      <c r="B70" s="13">
        <v>2499</v>
      </c>
      <c r="C70" s="3">
        <v>2011</v>
      </c>
      <c r="D70" s="3">
        <v>100150</v>
      </c>
      <c r="E70" t="s">
        <v>9</v>
      </c>
      <c r="F70" s="3" t="s">
        <v>8</v>
      </c>
      <c r="G70" s="3" t="s">
        <v>37</v>
      </c>
      <c r="H70" s="9" t="s">
        <v>10</v>
      </c>
      <c r="I70" s="3">
        <v>3</v>
      </c>
      <c r="J70" s="3" t="s">
        <v>32</v>
      </c>
      <c r="K70" s="3" t="s">
        <v>24</v>
      </c>
      <c r="L70" s="3">
        <v>0.18677047273517522</v>
      </c>
      <c r="M70" s="4">
        <f>2024 - Table2[[#This Row],[YEAR]]</f>
        <v>13</v>
      </c>
      <c r="N70">
        <v>1</v>
      </c>
      <c r="O70">
        <f t="shared" si="6"/>
        <v>1</v>
      </c>
      <c r="P70">
        <f t="shared" si="7"/>
        <v>0</v>
      </c>
      <c r="Q70">
        <f t="shared" si="8"/>
        <v>1</v>
      </c>
      <c r="AC70" s="30">
        <v>0.75</v>
      </c>
      <c r="AD70" s="25">
        <f>QUARTILE(B2:B101,3)</f>
        <v>9964</v>
      </c>
      <c r="AE70" s="25">
        <f>QUARTILE(D2:D101,3)</f>
        <v>93800</v>
      </c>
      <c r="AF70" s="25">
        <f>QUARTILE(C2:C101,3)</f>
        <v>2019.25</v>
      </c>
      <c r="AG70" s="25">
        <f>QUARTILE(N2:N101,3)</f>
        <v>1.3</v>
      </c>
    </row>
    <row r="71" spans="1:38" ht="18" x14ac:dyDescent="0.35">
      <c r="A71" s="4">
        <v>61</v>
      </c>
      <c r="B71" s="14">
        <v>9750</v>
      </c>
      <c r="C71" s="4">
        <v>2010</v>
      </c>
      <c r="D71" s="4">
        <v>57000</v>
      </c>
      <c r="E71" t="s">
        <v>9</v>
      </c>
      <c r="F71" s="4" t="s">
        <v>8</v>
      </c>
      <c r="G71" s="4" t="s">
        <v>19</v>
      </c>
      <c r="H71" s="10" t="s">
        <v>10</v>
      </c>
      <c r="I71" s="4">
        <v>5</v>
      </c>
      <c r="J71" s="4" t="s">
        <v>32</v>
      </c>
      <c r="K71" s="4" t="s">
        <v>21</v>
      </c>
      <c r="L71" s="4">
        <v>0.21161017533008131</v>
      </c>
      <c r="M71" s="4">
        <f>2024 - Table2[[#This Row],[YEAR]]</f>
        <v>14</v>
      </c>
      <c r="N71">
        <v>1</v>
      </c>
      <c r="O71">
        <f t="shared" si="6"/>
        <v>1</v>
      </c>
      <c r="P71">
        <f t="shared" si="7"/>
        <v>0</v>
      </c>
      <c r="Q71">
        <f t="shared" si="8"/>
        <v>1</v>
      </c>
      <c r="S71" t="s">
        <v>146</v>
      </c>
      <c r="T71" t="s">
        <v>147</v>
      </c>
      <c r="U71" t="s">
        <v>148</v>
      </c>
      <c r="AC71" s="29" t="s">
        <v>96</v>
      </c>
      <c r="AD71" s="28">
        <f>MAX(B2:B101)</f>
        <v>18990</v>
      </c>
      <c r="AE71" s="25">
        <f>MAX(D2:D101)</f>
        <v>124627</v>
      </c>
      <c r="AF71" s="25">
        <f>MAX(C2:C101)</f>
        <v>2023</v>
      </c>
      <c r="AG71" s="25">
        <f>MAX(N2:N101)</f>
        <v>1.6</v>
      </c>
    </row>
    <row r="72" spans="1:38" ht="15" x14ac:dyDescent="0.35">
      <c r="A72" s="3">
        <v>66</v>
      </c>
      <c r="B72" s="13">
        <v>4500</v>
      </c>
      <c r="C72" s="3">
        <v>2011</v>
      </c>
      <c r="D72" s="3">
        <v>61000</v>
      </c>
      <c r="E72" t="s">
        <v>9</v>
      </c>
      <c r="F72" s="3" t="s">
        <v>8</v>
      </c>
      <c r="G72" s="3" t="s">
        <v>37</v>
      </c>
      <c r="H72" s="9" t="s">
        <v>10</v>
      </c>
      <c r="I72" s="3">
        <v>3</v>
      </c>
      <c r="J72" s="3" t="s">
        <v>32</v>
      </c>
      <c r="K72" s="3" t="s">
        <v>41</v>
      </c>
      <c r="L72" s="3">
        <v>0.23544781069473797</v>
      </c>
      <c r="M72" s="4">
        <f>2024 - Table2[[#This Row],[YEAR]]</f>
        <v>13</v>
      </c>
      <c r="N72">
        <v>1</v>
      </c>
      <c r="O72">
        <f t="shared" si="6"/>
        <v>1</v>
      </c>
      <c r="P72">
        <f t="shared" si="7"/>
        <v>0</v>
      </c>
      <c r="Q72">
        <f t="shared" si="8"/>
        <v>1</v>
      </c>
      <c r="S72" cm="1">
        <f t="array" ref="S72:S141">_xlfn._xlws.FILTER(B2:B101, E2:E101="Petrol")</f>
        <v>10899</v>
      </c>
      <c r="T72" cm="1">
        <f t="array" ref="T72:T75">_xlfn._xlws.FILTER(B2:B101, E2:E101="Diesel")</f>
        <v>6099</v>
      </c>
      <c r="U72" cm="1">
        <f t="array" ref="U72:U77">_xlfn._xlws.FILTER(B2:B101, E2:E101="Petrol Hybrid")</f>
        <v>14205</v>
      </c>
    </row>
    <row r="73" spans="1:38" ht="15" x14ac:dyDescent="0.35">
      <c r="A73" s="4">
        <v>92</v>
      </c>
      <c r="B73" s="14">
        <v>12180</v>
      </c>
      <c r="C73" s="4">
        <v>2020</v>
      </c>
      <c r="D73" s="4">
        <v>20990</v>
      </c>
      <c r="E73" t="s">
        <v>9</v>
      </c>
      <c r="F73" s="4" t="s">
        <v>8</v>
      </c>
      <c r="G73" s="4" t="s">
        <v>19</v>
      </c>
      <c r="H73" s="10" t="s">
        <v>10</v>
      </c>
      <c r="I73" s="4">
        <v>5</v>
      </c>
      <c r="J73" s="4" t="s">
        <v>32</v>
      </c>
      <c r="K73" s="4" t="s">
        <v>21</v>
      </c>
      <c r="L73" s="4">
        <v>0.27206197660604148</v>
      </c>
      <c r="M73" s="4">
        <f>2024 - Table2[[#This Row],[YEAR]]</f>
        <v>4</v>
      </c>
      <c r="N73">
        <v>1.5</v>
      </c>
      <c r="O73">
        <f t="shared" si="6"/>
        <v>1</v>
      </c>
      <c r="P73">
        <f t="shared" si="7"/>
        <v>0</v>
      </c>
      <c r="Q73">
        <f t="shared" si="8"/>
        <v>1</v>
      </c>
      <c r="S73">
        <v>1965</v>
      </c>
      <c r="T73">
        <v>1689</v>
      </c>
      <c r="U73">
        <v>12699</v>
      </c>
      <c r="AK73" t="s">
        <v>136</v>
      </c>
      <c r="AL73" t="s">
        <v>137</v>
      </c>
    </row>
    <row r="74" spans="1:38" ht="15" x14ac:dyDescent="0.35">
      <c r="A74" s="3">
        <v>48</v>
      </c>
      <c r="B74" s="13">
        <v>4500</v>
      </c>
      <c r="C74" s="3">
        <v>2011</v>
      </c>
      <c r="D74" s="3">
        <v>61000</v>
      </c>
      <c r="E74" t="s">
        <v>9</v>
      </c>
      <c r="F74" s="3" t="s">
        <v>8</v>
      </c>
      <c r="G74" s="3" t="s">
        <v>37</v>
      </c>
      <c r="H74" s="9" t="s">
        <v>10</v>
      </c>
      <c r="I74" s="3">
        <v>3</v>
      </c>
      <c r="J74" s="3" t="s">
        <v>32</v>
      </c>
      <c r="K74" s="3" t="s">
        <v>24</v>
      </c>
      <c r="L74" s="3">
        <v>0.44153426362412274</v>
      </c>
      <c r="M74" s="4">
        <f>2024 - Table2[[#This Row],[YEAR]]</f>
        <v>13</v>
      </c>
      <c r="N74">
        <v>1.4</v>
      </c>
      <c r="O74">
        <f t="shared" si="6"/>
        <v>1</v>
      </c>
      <c r="P74">
        <f t="shared" si="7"/>
        <v>0</v>
      </c>
      <c r="Q74">
        <f t="shared" si="8"/>
        <v>1</v>
      </c>
      <c r="S74">
        <v>9952</v>
      </c>
      <c r="T74">
        <v>1689</v>
      </c>
      <c r="U74">
        <v>12699</v>
      </c>
      <c r="AF74" t="s">
        <v>138</v>
      </c>
      <c r="AK74" cm="1">
        <f t="array" ref="AK74:AK145">_xlfn._xlws.FILTER(B2:B101, F2:F101="Manual")</f>
        <v>10899</v>
      </c>
      <c r="AL74" cm="1">
        <f t="array" ref="AL74:AL81">_xlfn._xlws.FILTER(B2:B101, F2:F101="Automatic")</f>
        <v>9952</v>
      </c>
    </row>
    <row r="75" spans="1:38" ht="15.6" thickBot="1" x14ac:dyDescent="0.4">
      <c r="A75" s="4">
        <v>85</v>
      </c>
      <c r="B75" s="14">
        <v>14330</v>
      </c>
      <c r="C75" s="4">
        <v>2023</v>
      </c>
      <c r="D75" s="4">
        <v>26697</v>
      </c>
      <c r="E75" t="s">
        <v>9</v>
      </c>
      <c r="F75" s="4" t="s">
        <v>8</v>
      </c>
      <c r="G75" s="4" t="s">
        <v>19</v>
      </c>
      <c r="H75" s="10" t="s">
        <v>10</v>
      </c>
      <c r="I75" s="4">
        <v>5</v>
      </c>
      <c r="J75" s="4" t="s">
        <v>32</v>
      </c>
      <c r="K75" s="4" t="s">
        <v>44</v>
      </c>
      <c r="L75" s="4">
        <v>0.46296552782842748</v>
      </c>
      <c r="M75" s="4">
        <f>2024 - Table2[[#This Row],[YEAR]]</f>
        <v>1</v>
      </c>
      <c r="N75">
        <v>1.5</v>
      </c>
      <c r="O75">
        <f t="shared" si="6"/>
        <v>1</v>
      </c>
      <c r="P75">
        <f t="shared" si="7"/>
        <v>0</v>
      </c>
      <c r="Q75">
        <f t="shared" si="8"/>
        <v>1</v>
      </c>
      <c r="S75">
        <v>3850</v>
      </c>
      <c r="T75">
        <v>3995</v>
      </c>
      <c r="U75">
        <v>16949</v>
      </c>
      <c r="X75" t="s">
        <v>149</v>
      </c>
      <c r="AK75">
        <v>1965</v>
      </c>
      <c r="AL75">
        <v>12699</v>
      </c>
    </row>
    <row r="76" spans="1:38" ht="15" x14ac:dyDescent="0.35">
      <c r="A76" s="3">
        <v>59</v>
      </c>
      <c r="B76" s="13">
        <v>3995</v>
      </c>
      <c r="C76" s="3">
        <v>2015</v>
      </c>
      <c r="D76" s="3">
        <v>95000</v>
      </c>
      <c r="E76" t="s">
        <v>25</v>
      </c>
      <c r="F76" s="3" t="s">
        <v>8</v>
      </c>
      <c r="G76" s="3" t="s">
        <v>40</v>
      </c>
      <c r="H76" s="9" t="s">
        <v>10</v>
      </c>
      <c r="I76" s="3">
        <v>5</v>
      </c>
      <c r="J76" s="3" t="s">
        <v>32</v>
      </c>
      <c r="K76" s="3" t="s">
        <v>30</v>
      </c>
      <c r="L76" s="3">
        <v>0.46913565838407023</v>
      </c>
      <c r="M76" s="4">
        <f>2024 - Table2[[#This Row],[YEAR]]</f>
        <v>9</v>
      </c>
      <c r="N76">
        <v>1</v>
      </c>
      <c r="O76">
        <f t="shared" si="6"/>
        <v>0</v>
      </c>
      <c r="P76">
        <f t="shared" si="7"/>
        <v>1</v>
      </c>
      <c r="Q76">
        <f t="shared" si="8"/>
        <v>1</v>
      </c>
      <c r="S76">
        <v>6490</v>
      </c>
      <c r="U76">
        <v>12499</v>
      </c>
      <c r="AF76" s="32"/>
      <c r="AG76" s="32" t="s">
        <v>136</v>
      </c>
      <c r="AH76" s="32" t="s">
        <v>137</v>
      </c>
      <c r="AK76">
        <v>3850</v>
      </c>
      <c r="AL76">
        <v>12699</v>
      </c>
    </row>
    <row r="77" spans="1:38" ht="15.6" thickBot="1" x14ac:dyDescent="0.4">
      <c r="A77" s="3">
        <v>98</v>
      </c>
      <c r="B77" s="13">
        <v>11643</v>
      </c>
      <c r="C77" s="3">
        <v>2021</v>
      </c>
      <c r="D77" s="3">
        <v>42100</v>
      </c>
      <c r="E77" t="s">
        <v>9</v>
      </c>
      <c r="F77" s="3" t="s">
        <v>8</v>
      </c>
      <c r="G77" s="3" t="s">
        <v>19</v>
      </c>
      <c r="H77" s="9" t="s">
        <v>10</v>
      </c>
      <c r="I77" s="3">
        <v>5</v>
      </c>
      <c r="J77" s="3" t="s">
        <v>32</v>
      </c>
      <c r="K77" s="3" t="s">
        <v>21</v>
      </c>
      <c r="L77" s="3">
        <v>0.49060292324001864</v>
      </c>
      <c r="M77" s="4">
        <f>2024 - Table2[[#This Row],[YEAR]]</f>
        <v>3</v>
      </c>
      <c r="N77">
        <v>1.4</v>
      </c>
      <c r="O77">
        <f t="shared" si="6"/>
        <v>1</v>
      </c>
      <c r="P77">
        <f t="shared" si="7"/>
        <v>0</v>
      </c>
      <c r="Q77">
        <f t="shared" si="8"/>
        <v>1</v>
      </c>
      <c r="S77">
        <v>10899</v>
      </c>
      <c r="U77">
        <v>12490</v>
      </c>
      <c r="X77" t="s">
        <v>150</v>
      </c>
      <c r="AF77" t="s">
        <v>139</v>
      </c>
      <c r="AG77">
        <v>5455</v>
      </c>
      <c r="AH77">
        <v>10411</v>
      </c>
      <c r="AK77">
        <v>6490</v>
      </c>
      <c r="AL77">
        <v>16949</v>
      </c>
    </row>
    <row r="78" spans="1:38" ht="15" x14ac:dyDescent="0.35">
      <c r="A78" s="3">
        <v>34</v>
      </c>
      <c r="B78" s="13">
        <v>2495</v>
      </c>
      <c r="C78" s="3">
        <v>2014</v>
      </c>
      <c r="D78" s="3">
        <v>91000</v>
      </c>
      <c r="E78" t="s">
        <v>9</v>
      </c>
      <c r="F78" s="3" t="s">
        <v>8</v>
      </c>
      <c r="G78" s="3" t="s">
        <v>19</v>
      </c>
      <c r="H78" s="9" t="s">
        <v>10</v>
      </c>
      <c r="I78" s="3">
        <v>3</v>
      </c>
      <c r="J78" s="3" t="s">
        <v>32</v>
      </c>
      <c r="K78" s="3" t="s">
        <v>24</v>
      </c>
      <c r="L78" s="3">
        <v>0.52663006353813735</v>
      </c>
      <c r="M78" s="4">
        <f>2024 - Table2[[#This Row],[YEAR]]</f>
        <v>10</v>
      </c>
      <c r="N78">
        <v>1.4</v>
      </c>
      <c r="O78">
        <f t="shared" si="6"/>
        <v>1</v>
      </c>
      <c r="P78">
        <f t="shared" si="7"/>
        <v>0</v>
      </c>
      <c r="Q78">
        <f t="shared" si="8"/>
        <v>1</v>
      </c>
      <c r="S78">
        <v>12889</v>
      </c>
      <c r="X78" s="32" t="s">
        <v>151</v>
      </c>
      <c r="Y78" s="32" t="s">
        <v>152</v>
      </c>
      <c r="Z78" s="32" t="s">
        <v>153</v>
      </c>
      <c r="AA78" s="32" t="s">
        <v>154</v>
      </c>
      <c r="AB78" s="32" t="s">
        <v>140</v>
      </c>
      <c r="AF78" t="s">
        <v>140</v>
      </c>
      <c r="AG78">
        <v>17685770.985915493</v>
      </c>
      <c r="AH78">
        <v>24636262.857142858</v>
      </c>
      <c r="AK78">
        <v>10899</v>
      </c>
      <c r="AL78">
        <v>3500</v>
      </c>
    </row>
    <row r="79" spans="1:38" ht="15" x14ac:dyDescent="0.35">
      <c r="A79" s="4">
        <v>94</v>
      </c>
      <c r="B79" s="14">
        <v>10430</v>
      </c>
      <c r="C79" s="4">
        <v>2018</v>
      </c>
      <c r="D79" s="4">
        <v>30365</v>
      </c>
      <c r="E79" t="s">
        <v>9</v>
      </c>
      <c r="F79" s="4" t="s">
        <v>8</v>
      </c>
      <c r="G79" s="4" t="s">
        <v>19</v>
      </c>
      <c r="H79" s="10" t="s">
        <v>10</v>
      </c>
      <c r="I79" s="4">
        <v>5</v>
      </c>
      <c r="J79" s="4" t="s">
        <v>32</v>
      </c>
      <c r="K79" s="4" t="s">
        <v>21</v>
      </c>
      <c r="L79" s="4">
        <v>0.55953696281675702</v>
      </c>
      <c r="M79" s="4">
        <f>2024 - Table2[[#This Row],[YEAR]]</f>
        <v>6</v>
      </c>
      <c r="N79">
        <v>1.1000000000000001</v>
      </c>
      <c r="O79">
        <f t="shared" si="6"/>
        <v>1</v>
      </c>
      <c r="P79">
        <f t="shared" si="7"/>
        <v>0</v>
      </c>
      <c r="Q79">
        <f t="shared" si="8"/>
        <v>1</v>
      </c>
      <c r="S79">
        <v>3790</v>
      </c>
      <c r="X79" t="s">
        <v>146</v>
      </c>
      <c r="Y79">
        <v>70</v>
      </c>
      <c r="Z79">
        <v>381035</v>
      </c>
      <c r="AA79">
        <v>5443.3571428571431</v>
      </c>
      <c r="AB79">
        <v>17115695.102484472</v>
      </c>
      <c r="AF79" t="s">
        <v>112</v>
      </c>
      <c r="AG79">
        <v>72</v>
      </c>
      <c r="AH79">
        <v>8</v>
      </c>
      <c r="AK79">
        <v>12889</v>
      </c>
      <c r="AL79">
        <v>12499</v>
      </c>
    </row>
    <row r="80" spans="1:38" ht="15" x14ac:dyDescent="0.35">
      <c r="A80" s="3">
        <v>84</v>
      </c>
      <c r="B80" s="13">
        <v>5495</v>
      </c>
      <c r="C80" s="3">
        <v>2015</v>
      </c>
      <c r="D80" s="3">
        <v>105000</v>
      </c>
      <c r="E80" t="s">
        <v>9</v>
      </c>
      <c r="F80" s="3" t="s">
        <v>8</v>
      </c>
      <c r="G80" s="3" t="s">
        <v>37</v>
      </c>
      <c r="H80" s="9" t="s">
        <v>10</v>
      </c>
      <c r="I80" s="3">
        <v>3</v>
      </c>
      <c r="J80" s="3" t="s">
        <v>32</v>
      </c>
      <c r="K80" s="3" t="s">
        <v>21</v>
      </c>
      <c r="L80" s="3">
        <v>0.60695300027170451</v>
      </c>
      <c r="M80" s="4">
        <f>2024 - Table2[[#This Row],[YEAR]]</f>
        <v>9</v>
      </c>
      <c r="N80">
        <v>1</v>
      </c>
      <c r="O80">
        <f t="shared" si="6"/>
        <v>1</v>
      </c>
      <c r="P80">
        <f t="shared" si="7"/>
        <v>0</v>
      </c>
      <c r="Q80">
        <f t="shared" si="8"/>
        <v>1</v>
      </c>
      <c r="S80">
        <v>4695</v>
      </c>
      <c r="X80" t="s">
        <v>147</v>
      </c>
      <c r="Y80">
        <v>4</v>
      </c>
      <c r="Z80">
        <v>13472</v>
      </c>
      <c r="AA80">
        <v>3368</v>
      </c>
      <c r="AB80">
        <v>4496524</v>
      </c>
      <c r="AF80" t="s">
        <v>141</v>
      </c>
      <c r="AG80">
        <v>0</v>
      </c>
      <c r="AK80">
        <v>3790</v>
      </c>
      <c r="AL80">
        <v>12490</v>
      </c>
    </row>
    <row r="81" spans="1:38" ht="15.6" thickBot="1" x14ac:dyDescent="0.4">
      <c r="A81" s="3">
        <v>35</v>
      </c>
      <c r="B81" s="13">
        <v>2495</v>
      </c>
      <c r="C81" s="3">
        <v>2015</v>
      </c>
      <c r="D81" s="3">
        <v>117000</v>
      </c>
      <c r="E81" t="s">
        <v>9</v>
      </c>
      <c r="F81" s="3" t="s">
        <v>8</v>
      </c>
      <c r="G81" s="3" t="s">
        <v>19</v>
      </c>
      <c r="H81" s="9" t="s">
        <v>10</v>
      </c>
      <c r="I81" s="3">
        <v>3</v>
      </c>
      <c r="J81" s="3" t="s">
        <v>32</v>
      </c>
      <c r="K81" s="3" t="s">
        <v>21</v>
      </c>
      <c r="L81" s="3">
        <v>0.6450546229737617</v>
      </c>
      <c r="M81" s="23">
        <f>2024 - Table2[[#This Row],[YEAR]]</f>
        <v>9</v>
      </c>
      <c r="N81">
        <v>1</v>
      </c>
      <c r="O81">
        <f t="shared" si="6"/>
        <v>1</v>
      </c>
      <c r="P81">
        <f t="shared" si="7"/>
        <v>0</v>
      </c>
      <c r="Q81">
        <f t="shared" si="8"/>
        <v>1</v>
      </c>
      <c r="S81">
        <v>3790</v>
      </c>
      <c r="X81" s="31" t="s">
        <v>148</v>
      </c>
      <c r="Y81" s="31">
        <v>6</v>
      </c>
      <c r="Z81" s="31">
        <v>81541</v>
      </c>
      <c r="AA81" s="31">
        <v>13590.166666666666</v>
      </c>
      <c r="AB81" s="31">
        <v>3129829.7666666508</v>
      </c>
      <c r="AF81" t="s">
        <v>118</v>
      </c>
      <c r="AG81">
        <v>8</v>
      </c>
      <c r="AK81">
        <v>4695</v>
      </c>
      <c r="AL81">
        <v>2500</v>
      </c>
    </row>
    <row r="82" spans="1:38" x14ac:dyDescent="0.3">
      <c r="S82">
        <v>1599</v>
      </c>
      <c r="AF82" t="s">
        <v>124</v>
      </c>
      <c r="AG82">
        <v>-2.7178436201941092</v>
      </c>
      <c r="AK82">
        <v>3790</v>
      </c>
    </row>
    <row r="83" spans="1:38" x14ac:dyDescent="0.3">
      <c r="S83">
        <v>18990</v>
      </c>
      <c r="AF83" t="s">
        <v>142</v>
      </c>
      <c r="AG83">
        <v>1.3168223987104806E-2</v>
      </c>
      <c r="AK83">
        <v>1599</v>
      </c>
    </row>
    <row r="84" spans="1:38" ht="15" thickBot="1" x14ac:dyDescent="0.35">
      <c r="S84">
        <v>3500</v>
      </c>
      <c r="X84" t="s">
        <v>113</v>
      </c>
      <c r="AF84" t="s">
        <v>143</v>
      </c>
      <c r="AG84">
        <v>1.8595480375308981</v>
      </c>
      <c r="AK84">
        <v>14205</v>
      </c>
    </row>
    <row r="85" spans="1:38" x14ac:dyDescent="0.3">
      <c r="S85">
        <v>10750</v>
      </c>
      <c r="X85" s="32" t="s">
        <v>157</v>
      </c>
      <c r="Y85" s="32" t="s">
        <v>119</v>
      </c>
      <c r="Z85" s="32" t="s">
        <v>118</v>
      </c>
      <c r="AA85" s="32" t="s">
        <v>120</v>
      </c>
      <c r="AB85" s="32" t="s">
        <v>121</v>
      </c>
      <c r="AC85" s="32" t="s">
        <v>125</v>
      </c>
      <c r="AD85" s="32" t="s">
        <v>158</v>
      </c>
      <c r="AF85" t="s">
        <v>144</v>
      </c>
      <c r="AG85">
        <v>2.6336447974209611E-2</v>
      </c>
      <c r="AK85">
        <v>18990</v>
      </c>
    </row>
    <row r="86" spans="1:38" ht="15" thickBot="1" x14ac:dyDescent="0.35">
      <c r="S86">
        <v>2385</v>
      </c>
      <c r="X86" t="s">
        <v>155</v>
      </c>
      <c r="Y86">
        <v>394867836.29523563</v>
      </c>
      <c r="Z86">
        <v>2</v>
      </c>
      <c r="AA86">
        <v>197433918.14761782</v>
      </c>
      <c r="AB86">
        <v>12.562713247873456</v>
      </c>
      <c r="AC86">
        <v>1.8977474401709266E-5</v>
      </c>
      <c r="AD86">
        <v>3.1153657966336636</v>
      </c>
      <c r="AF86" s="31" t="s">
        <v>145</v>
      </c>
      <c r="AG86" s="31">
        <v>2.3060041352041671</v>
      </c>
      <c r="AH86" s="31"/>
      <c r="AK86">
        <v>3500</v>
      </c>
    </row>
    <row r="87" spans="1:38" x14ac:dyDescent="0.3">
      <c r="S87">
        <v>3995</v>
      </c>
      <c r="X87" t="s">
        <v>156</v>
      </c>
      <c r="Y87">
        <v>1210121682.9047618</v>
      </c>
      <c r="Z87">
        <v>77</v>
      </c>
      <c r="AA87">
        <v>15715866.011750152</v>
      </c>
      <c r="AK87">
        <v>10750</v>
      </c>
    </row>
    <row r="88" spans="1:38" x14ac:dyDescent="0.3">
      <c r="S88">
        <v>1895</v>
      </c>
      <c r="AK88">
        <v>2385</v>
      </c>
    </row>
    <row r="89" spans="1:38" ht="15" thickBot="1" x14ac:dyDescent="0.35">
      <c r="S89">
        <v>2385</v>
      </c>
      <c r="X89" s="31" t="s">
        <v>116</v>
      </c>
      <c r="Y89" s="31">
        <v>1604989519.1999974</v>
      </c>
      <c r="Z89" s="31">
        <v>79</v>
      </c>
      <c r="AA89" s="31"/>
      <c r="AB89" s="31"/>
      <c r="AC89" s="31"/>
      <c r="AD89" s="31"/>
      <c r="AK89">
        <v>3995</v>
      </c>
    </row>
    <row r="90" spans="1:38" x14ac:dyDescent="0.3">
      <c r="S90">
        <v>1199</v>
      </c>
      <c r="AK90">
        <v>1895</v>
      </c>
    </row>
    <row r="91" spans="1:38" x14ac:dyDescent="0.3">
      <c r="S91">
        <v>1650</v>
      </c>
      <c r="AK91">
        <v>2385</v>
      </c>
    </row>
    <row r="92" spans="1:38" x14ac:dyDescent="0.3">
      <c r="S92">
        <v>3995</v>
      </c>
      <c r="AK92">
        <v>1199</v>
      </c>
    </row>
    <row r="93" spans="1:38" x14ac:dyDescent="0.3">
      <c r="S93">
        <v>12099</v>
      </c>
      <c r="AK93">
        <v>1650</v>
      </c>
    </row>
    <row r="94" spans="1:38" x14ac:dyDescent="0.3">
      <c r="S94">
        <v>6790</v>
      </c>
      <c r="AK94">
        <v>3995</v>
      </c>
    </row>
    <row r="95" spans="1:38" x14ac:dyDescent="0.3">
      <c r="S95">
        <v>9129</v>
      </c>
      <c r="X95">
        <f>CORREL(N2:N101, B2:B101)</f>
        <v>0.16729404375359586</v>
      </c>
      <c r="AK95">
        <v>12099</v>
      </c>
    </row>
    <row r="96" spans="1:38" x14ac:dyDescent="0.3">
      <c r="S96">
        <v>2250</v>
      </c>
      <c r="AK96">
        <v>6099</v>
      </c>
    </row>
    <row r="97" spans="19:37" x14ac:dyDescent="0.3">
      <c r="S97">
        <v>3500</v>
      </c>
      <c r="AK97">
        <v>6790</v>
      </c>
    </row>
    <row r="98" spans="19:37" x14ac:dyDescent="0.3">
      <c r="S98">
        <v>3250</v>
      </c>
      <c r="AK98">
        <v>9129</v>
      </c>
    </row>
    <row r="99" spans="19:37" x14ac:dyDescent="0.3">
      <c r="S99">
        <v>4350</v>
      </c>
      <c r="AK99">
        <v>2250</v>
      </c>
    </row>
    <row r="100" spans="19:37" x14ac:dyDescent="0.3">
      <c r="S100">
        <v>5000</v>
      </c>
      <c r="AK100">
        <v>3250</v>
      </c>
    </row>
    <row r="101" spans="19:37" x14ac:dyDescent="0.3">
      <c r="S101">
        <v>4000</v>
      </c>
      <c r="AK101">
        <v>4350</v>
      </c>
    </row>
    <row r="102" spans="19:37" x14ac:dyDescent="0.3">
      <c r="S102">
        <v>2500</v>
      </c>
      <c r="AK102">
        <v>5000</v>
      </c>
    </row>
    <row r="103" spans="19:37" x14ac:dyDescent="0.3">
      <c r="S103">
        <v>1495</v>
      </c>
      <c r="AK103">
        <v>4000</v>
      </c>
    </row>
    <row r="104" spans="19:37" x14ac:dyDescent="0.3">
      <c r="S104">
        <v>3250</v>
      </c>
      <c r="AK104">
        <v>2500</v>
      </c>
    </row>
    <row r="105" spans="19:37" x14ac:dyDescent="0.3">
      <c r="S105">
        <v>3999</v>
      </c>
      <c r="AK105">
        <v>1495</v>
      </c>
    </row>
    <row r="106" spans="19:37" x14ac:dyDescent="0.3">
      <c r="S106">
        <v>13629</v>
      </c>
      <c r="AK106">
        <v>3250</v>
      </c>
    </row>
    <row r="107" spans="19:37" x14ac:dyDescent="0.3">
      <c r="S107">
        <v>2350</v>
      </c>
      <c r="AK107">
        <v>3999</v>
      </c>
    </row>
    <row r="108" spans="19:37" x14ac:dyDescent="0.3">
      <c r="S108">
        <v>8139</v>
      </c>
      <c r="AK108">
        <v>13629</v>
      </c>
    </row>
    <row r="109" spans="19:37" x14ac:dyDescent="0.3">
      <c r="S109">
        <v>4995</v>
      </c>
      <c r="AK109">
        <v>1689</v>
      </c>
    </row>
    <row r="110" spans="19:37" x14ac:dyDescent="0.3">
      <c r="S110">
        <v>2500</v>
      </c>
      <c r="AK110">
        <v>1689</v>
      </c>
    </row>
    <row r="111" spans="19:37" x14ac:dyDescent="0.3">
      <c r="S111">
        <v>2500</v>
      </c>
      <c r="AK111">
        <v>2350</v>
      </c>
    </row>
    <row r="112" spans="19:37" x14ac:dyDescent="0.3">
      <c r="S112">
        <v>3080</v>
      </c>
      <c r="AK112">
        <v>8139</v>
      </c>
    </row>
    <row r="113" spans="19:37" x14ac:dyDescent="0.3">
      <c r="S113">
        <v>8995</v>
      </c>
      <c r="AK113">
        <v>4995</v>
      </c>
    </row>
    <row r="114" spans="19:37" x14ac:dyDescent="0.3">
      <c r="S114">
        <v>11267</v>
      </c>
      <c r="AK114">
        <v>2500</v>
      </c>
    </row>
    <row r="115" spans="19:37" x14ac:dyDescent="0.3">
      <c r="S115">
        <v>11844</v>
      </c>
      <c r="AK115">
        <v>3080</v>
      </c>
    </row>
    <row r="116" spans="19:37" x14ac:dyDescent="0.3">
      <c r="S116">
        <v>3521</v>
      </c>
      <c r="AK116">
        <v>8995</v>
      </c>
    </row>
    <row r="117" spans="19:37" x14ac:dyDescent="0.3">
      <c r="S117">
        <v>3850</v>
      </c>
      <c r="AK117">
        <v>11267</v>
      </c>
    </row>
    <row r="118" spans="19:37" x14ac:dyDescent="0.3">
      <c r="S118">
        <v>1000</v>
      </c>
      <c r="AK118">
        <v>11844</v>
      </c>
    </row>
    <row r="119" spans="19:37" x14ac:dyDescent="0.3">
      <c r="S119">
        <v>10000</v>
      </c>
      <c r="AK119">
        <v>3521</v>
      </c>
    </row>
    <row r="120" spans="19:37" x14ac:dyDescent="0.3">
      <c r="S120">
        <v>4995</v>
      </c>
      <c r="AK120">
        <v>3850</v>
      </c>
    </row>
    <row r="121" spans="19:37" x14ac:dyDescent="0.3">
      <c r="S121">
        <v>595</v>
      </c>
      <c r="AK121">
        <v>1000</v>
      </c>
    </row>
    <row r="122" spans="19:37" x14ac:dyDescent="0.3">
      <c r="S122">
        <v>850</v>
      </c>
      <c r="AK122">
        <v>10000</v>
      </c>
    </row>
    <row r="123" spans="19:37" x14ac:dyDescent="0.3">
      <c r="S123">
        <v>850</v>
      </c>
      <c r="AK123">
        <v>4995</v>
      </c>
    </row>
    <row r="124" spans="19:37" x14ac:dyDescent="0.3">
      <c r="S124">
        <v>4350</v>
      </c>
      <c r="AK124">
        <v>595</v>
      </c>
    </row>
    <row r="125" spans="19:37" x14ac:dyDescent="0.3">
      <c r="S125">
        <v>3000</v>
      </c>
      <c r="AK125">
        <v>850</v>
      </c>
    </row>
    <row r="126" spans="19:37" x14ac:dyDescent="0.3">
      <c r="S126">
        <v>595</v>
      </c>
      <c r="AK126">
        <v>850</v>
      </c>
    </row>
    <row r="127" spans="19:37" x14ac:dyDescent="0.3">
      <c r="S127">
        <v>7700</v>
      </c>
      <c r="AK127">
        <v>4350</v>
      </c>
    </row>
    <row r="128" spans="19:37" x14ac:dyDescent="0.3">
      <c r="S128">
        <v>999</v>
      </c>
      <c r="AK128">
        <v>3000</v>
      </c>
    </row>
    <row r="129" spans="19:37" x14ac:dyDescent="0.3">
      <c r="S129">
        <v>4350</v>
      </c>
      <c r="AK129">
        <v>595</v>
      </c>
    </row>
    <row r="130" spans="19:37" x14ac:dyDescent="0.3">
      <c r="S130">
        <v>1590</v>
      </c>
      <c r="AK130">
        <v>7700</v>
      </c>
    </row>
    <row r="131" spans="19:37" x14ac:dyDescent="0.3">
      <c r="S131">
        <v>2499</v>
      </c>
      <c r="AK131">
        <v>999</v>
      </c>
    </row>
    <row r="132" spans="19:37" x14ac:dyDescent="0.3">
      <c r="S132">
        <v>9750</v>
      </c>
      <c r="AK132">
        <v>4350</v>
      </c>
    </row>
    <row r="133" spans="19:37" x14ac:dyDescent="0.3">
      <c r="S133">
        <v>4500</v>
      </c>
      <c r="AK133">
        <v>1590</v>
      </c>
    </row>
    <row r="134" spans="19:37" x14ac:dyDescent="0.3">
      <c r="S134">
        <v>12180</v>
      </c>
      <c r="AK134">
        <v>2499</v>
      </c>
    </row>
    <row r="135" spans="19:37" x14ac:dyDescent="0.3">
      <c r="S135">
        <v>4500</v>
      </c>
      <c r="AK135">
        <v>9750</v>
      </c>
    </row>
    <row r="136" spans="19:37" x14ac:dyDescent="0.3">
      <c r="S136">
        <v>14330</v>
      </c>
      <c r="AK136">
        <v>4500</v>
      </c>
    </row>
    <row r="137" spans="19:37" x14ac:dyDescent="0.3">
      <c r="S137">
        <v>11643</v>
      </c>
      <c r="AK137">
        <v>12180</v>
      </c>
    </row>
    <row r="138" spans="19:37" x14ac:dyDescent="0.3">
      <c r="S138">
        <v>2495</v>
      </c>
      <c r="AK138">
        <v>4500</v>
      </c>
    </row>
    <row r="139" spans="19:37" x14ac:dyDescent="0.3">
      <c r="S139">
        <v>10430</v>
      </c>
      <c r="AK139">
        <v>14330</v>
      </c>
    </row>
    <row r="140" spans="19:37" x14ac:dyDescent="0.3">
      <c r="S140">
        <v>5495</v>
      </c>
      <c r="AK140">
        <v>3995</v>
      </c>
    </row>
    <row r="141" spans="19:37" x14ac:dyDescent="0.3">
      <c r="S141">
        <v>2495</v>
      </c>
      <c r="AK141">
        <v>11643</v>
      </c>
    </row>
    <row r="142" spans="19:37" x14ac:dyDescent="0.3">
      <c r="AK142">
        <v>2495</v>
      </c>
    </row>
    <row r="143" spans="19:37" x14ac:dyDescent="0.3">
      <c r="AK143">
        <v>10430</v>
      </c>
    </row>
    <row r="144" spans="19:37" x14ac:dyDescent="0.3">
      <c r="AK144">
        <v>5495</v>
      </c>
    </row>
    <row r="145" spans="37:37" x14ac:dyDescent="0.3">
      <c r="AK145">
        <v>2495</v>
      </c>
    </row>
  </sheetData>
  <phoneticPr fontId="2" type="noConversion"/>
  <pageMargins left="0.7" right="0.7" top="0.75" bottom="0.75" header="0.3" footer="0.3"/>
  <pageSetup paperSize="9" orientation="portrait" r:id="rId6"/>
  <drawing r:id="rId7"/>
  <tableParts count="3"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regresion</vt:lpstr>
      <vt:lpstr>data and visluasition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Abizar Huseni (Student)</dc:creator>
  <cp:lastModifiedBy>Abizar Huseni (Student)</cp:lastModifiedBy>
  <dcterms:created xsi:type="dcterms:W3CDTF">2025-11-01T22:09:20Z</dcterms:created>
  <dcterms:modified xsi:type="dcterms:W3CDTF">2026-01-19T21:55:43Z</dcterms:modified>
</cp:coreProperties>
</file>